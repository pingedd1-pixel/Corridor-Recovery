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Clients" sheetId="3" state="visible" r:id="rId5"/>
    <sheet name="Entrie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<sst xmlns="http://schemas.openxmlformats.org/spreadsheetml/2006/main" count="168" uniqueCount="143">
  <si>
    <t xml:space="preserve">Corridor Recovery — Dashboard</t>
  </si>
  <si>
    <t xml:space="preserve">Metric</t>
  </si>
  <si>
    <t xml:space="preserve">Value</t>
  </si>
  <si>
    <t xml:space="preserve">Clients (all stages)</t>
  </si>
  <si>
    <t xml:space="preserve">Clients engaged or beyond</t>
  </si>
  <si>
    <t xml:space="preserve">Estimated exposure, all clients (US$)</t>
  </si>
  <si>
    <t xml:space="preserve">IEEPA duty logged from entries (US$)</t>
  </si>
  <si>
    <t xml:space="preserve">  of which Phase 1 (US$)</t>
  </si>
  <si>
    <t xml:space="preserve">  of which protest required (US$)</t>
  </si>
  <si>
    <t xml:space="preserve">  of which deadline passed (US$)</t>
  </si>
  <si>
    <t xml:space="preserve">Entries with deadline &lt; urgent threshold (#)</t>
  </si>
  <si>
    <t xml:space="preserve">Entries past deadline (#)</t>
  </si>
  <si>
    <t xml:space="preserve">Entries on ESTIMATED liquidation date (#) — fix these first</t>
  </si>
  <si>
    <t xml:space="preserve">Claimed to date (US$)</t>
  </si>
  <si>
    <t xml:space="preserve">Refunded to date (US$)</t>
  </si>
  <si>
    <t xml:space="preserve">Fees earned to date (US$)</t>
  </si>
  <si>
    <t xml:space="preserve">Expected gross fee on logged duty (US$)</t>
  </si>
  <si>
    <t xml:space="preserve">Expected net fee after broker share (US$)</t>
  </si>
  <si>
    <t xml:space="preserve">Rules: never quote a client a figure from this sheet while any of their entries show 'Y' in Entries col I. Deadlines are computed from Assumptions; the ACE liquidation date always wins.</t>
  </si>
  <si>
    <t xml:space="preserve">Corridor Recovery — Claim &amp; Deadline Tracker v1</t>
  </si>
  <si>
    <t xml:space="preserve">Blue = inputs you edit. Black = formulas. Yellow = key assumptions. Dates as yyyy-mm-dd.</t>
  </si>
  <si>
    <t xml:space="preserve">Assumption</t>
  </si>
  <si>
    <t xml:space="preserve">Source / note</t>
  </si>
  <si>
    <t xml:space="preserve">Today (leave blank to use system date)</t>
  </si>
  <si>
    <t xml:space="preserve">→ effective today in D5</t>
  </si>
  <si>
    <t xml:space="preserve">Protest window after liquidation (days)</t>
  </si>
  <si>
    <t xml:space="preserve">19 U.S.C. 1514 / 19 CFR 174.12 — 180 days</t>
  </si>
  <si>
    <t xml:space="preserve">Phase 1 window: days after liquidation still filable in CAPE</t>
  </si>
  <si>
    <t xml:space="preserve">CBP CAPE guidance, Apr 2026 (Phase 1 = unliquidated or within 80 days of liquidation)</t>
  </si>
  <si>
    <t xml:space="preserve">Typical liquidation lag from entry (days) — used ONLY to estimate when actual date unknown</t>
  </si>
  <si>
    <t xml:space="preserve">CBP default liquidation ~314 days after entry; ALWAYS replace with the real ACE date</t>
  </si>
  <si>
    <t xml:space="preserve">IEEPA collection start</t>
  </si>
  <si>
    <t xml:space="preserve">First fentanyl/border IEEPA duties on Canada</t>
  </si>
  <si>
    <t xml:space="preserve">IEEPA collection end</t>
  </si>
  <si>
    <t xml:space="preserve">Collection stopped after SCOTUS ruling of Feb 20 2026</t>
  </si>
  <si>
    <t xml:space="preserve">Fee — simple (Phase 1)</t>
  </si>
  <si>
    <t xml:space="preserve">CM-PB-2026-002 §6</t>
  </si>
  <si>
    <t xml:space="preserve">Fee — complex (protest / reconciliation / stuck)</t>
  </si>
  <si>
    <t xml:space="preserve">CM-PB-2026-002 §6 (20–25%)</t>
  </si>
  <si>
    <t xml:space="preserve">Fee — Canadian surtax remission/drawback</t>
  </si>
  <si>
    <t xml:space="preserve">CM-PB-2026-002 §6 (20–30%)</t>
  </si>
  <si>
    <t xml:space="preserve">Partner broker share of fee</t>
  </si>
  <si>
    <t xml:space="preserve">Assumption — set when agreements are signed</t>
  </si>
  <si>
    <t xml:space="preserve">Realization haircut (share of claimed $ expected to pay)</t>
  </si>
  <si>
    <t xml:space="preserve">Assumption — rejected entries, partial approvals</t>
  </si>
  <si>
    <t xml:space="preserve">Canadian surtax refund window (days from import)</t>
  </si>
  <si>
    <t xml:space="preserve">CBSA: 2 years from date of importation</t>
  </si>
  <si>
    <t xml:space="preserve">Urgent threshold (days remaining)</t>
  </si>
  <si>
    <t xml:space="preserve">Turns a row red</t>
  </si>
  <si>
    <t xml:space="preserve">Client ID</t>
  </si>
  <si>
    <t xml:space="preserve">Company</t>
  </si>
  <si>
    <t xml:space="preserve">Bucket (A/B/C/D)</t>
  </si>
  <si>
    <t xml:space="preserve">Contact</t>
  </si>
  <si>
    <t xml:space="preserve">Phone / email</t>
  </si>
  <si>
    <t xml:space="preserve">Customs broker (theirs)</t>
  </si>
  <si>
    <t xml:space="preserve">Stage</t>
  </si>
  <si>
    <t xml:space="preserve">US sales in window (US$)</t>
  </si>
  <si>
    <t xml:space="preserve">Share not CUSMA-qualified</t>
  </si>
  <si>
    <t xml:space="preserve">Est. rate paid</t>
  </si>
  <si>
    <t xml:space="preserve">Est. exposure (US$)</t>
  </si>
  <si>
    <t xml:space="preserve">Engagement signed (date)</t>
  </si>
  <si>
    <t xml:space="preserve">Authorization received</t>
  </si>
  <si>
    <t xml:space="preserve">Broker report received</t>
  </si>
  <si>
    <t xml:space="preserve">ACE/ACH enrolled (Y/N)</t>
  </si>
  <si>
    <t xml:space="preserve">Entries logged (#)</t>
  </si>
  <si>
    <t xml:space="preserve">Total IEEPA duty logged (US$)</t>
  </si>
  <si>
    <t xml:space="preserve">Earliest deadline</t>
  </si>
  <si>
    <t xml:space="preserve">Days to earliest deadline</t>
  </si>
  <si>
    <t xml:space="preserve">Claimed (US$)</t>
  </si>
  <si>
    <t xml:space="preserve">Refunded (US$)</t>
  </si>
  <si>
    <t xml:space="preserve">Fee invoiced (US$)</t>
  </si>
  <si>
    <t xml:space="preserve">Notes</t>
  </si>
  <si>
    <t xml:space="preserve">CL-001</t>
  </si>
  <si>
    <t xml:space="preserve">Example Furniture Ltd (EXAMPLE ROW — replace)</t>
  </si>
  <si>
    <t xml:space="preserve">A</t>
  </si>
  <si>
    <t xml:space="preserve">Jane Doe</t>
  </si>
  <si>
    <t xml:space="preserve">604-000-0000 / jane@example.com</t>
  </si>
  <si>
    <t xml:space="preserve">Livingston</t>
  </si>
  <si>
    <t xml:space="preserve">Data in</t>
  </si>
  <si>
    <t xml:space="preserve">Y</t>
  </si>
  <si>
    <t xml:space="preserve">N</t>
  </si>
  <si>
    <t xml:space="preserve">Trial client. Ships DDP to 3 US distributors.</t>
  </si>
  <si>
    <t xml:space="preserve">Entry #</t>
  </si>
  <si>
    <t xml:space="preserve">Entry date</t>
  </si>
  <si>
    <t xml:space="preserve">Port</t>
  </si>
  <si>
    <t xml:space="preserve">HTS (Ch. 99 IEEPA line?)</t>
  </si>
  <si>
    <t xml:space="preserve">Entered value (US$)</t>
  </si>
  <si>
    <t xml:space="preserve">IEEPA rate</t>
  </si>
  <si>
    <t xml:space="preserve">Liquidation date (from ACE)</t>
  </si>
  <si>
    <t xml:space="preserve">Liquidation date estimated? (Y/N)</t>
  </si>
  <si>
    <t xml:space="preserve">IEEPA duty paid (US$)</t>
  </si>
  <si>
    <t xml:space="preserve">Days since liquidation</t>
  </si>
  <si>
    <t xml:space="preserve">Phase</t>
  </si>
  <si>
    <t xml:space="preserve">Protest deadline</t>
  </si>
  <si>
    <t xml:space="preserve">Governing deadline</t>
  </si>
  <si>
    <t xml:space="preserve">Days remaining</t>
  </si>
  <si>
    <t xml:space="preserve">Fee (US$)</t>
  </si>
  <si>
    <t xml:space="preserve">Status</t>
  </si>
  <si>
    <t xml:space="preserve">Filed via</t>
  </si>
  <si>
    <t xml:space="preserve">ABC-1234567-8</t>
  </si>
  <si>
    <t xml:space="preserve">Blaine (3004)</t>
  </si>
  <si>
    <t xml:space="preserve">9903.01.10</t>
  </si>
  <si>
    <t xml:space="preserve">Not filed</t>
  </si>
  <si>
    <t xml:space="preserve">EXAMPLE — liquidated; protest window</t>
  </si>
  <si>
    <t xml:space="preserve">ABC-1234568-9</t>
  </si>
  <si>
    <t xml:space="preserve">EXAMPLE — no ACE date yet; estimated</t>
  </si>
  <si>
    <t xml:space="preserve">ABC-1234569-0</t>
  </si>
  <si>
    <t xml:space="preserve">EXAMPLE — likely unliquidated → Phase 1</t>
  </si>
  <si>
    <t xml:space="preserve">Legend: Phase 1 = filable in CAPE now. Protest required = liquidated &gt;80 days ago, file protest before 'Protest deadline'. 'Y' in column I = liquidation date is ESTIMATED from entry date + lag — replace with the ACE date before relying on it.</t>
  </si>
  <si>
    <t xml:space="preserve">Where the prospect list comes from (no public register of IEEPA payers exists)</t>
  </si>
  <si>
    <t xml:space="preserve">Source</t>
  </si>
  <si>
    <t xml:space="preserve">What it gives</t>
  </si>
  <si>
    <t xml:space="preserve">Bucket</t>
  </si>
  <si>
    <t xml:space="preserve">Cost</t>
  </si>
  <si>
    <t xml:space="preserve">ISED Canadian Importers Database (ic.gc.ca)</t>
  </si>
  <si>
    <t xml:space="preserve">Canadian companies importing by HS code and country (US) — names, city</t>
  </si>
  <si>
    <t xml:space="preserve">C (surtax)</t>
  </si>
  <si>
    <t xml:space="preserve">Free</t>
  </si>
  <si>
    <t xml:space="preserve">Public. Filter HS chapters 84/85/73 from US → surtax payers.</t>
  </si>
  <si>
    <t xml:space="preserve">ISED Canadian Company Capabilities</t>
  </si>
  <si>
    <t xml:space="preserve">Canadian exporters by sector with export markets</t>
  </si>
  <si>
    <t xml:space="preserve">A/B</t>
  </si>
  <si>
    <t xml:space="preserve">Self-reported; good for first-pass list of US-exporting manufacturers.</t>
  </si>
  <si>
    <t xml:space="preserve">ImportGenius / Panjiva / Volza (US import BoL)</t>
  </si>
  <si>
    <t xml:space="preserve">US ocean shipments by shipper — Canadian shippers to US, consignee (their US customer = bucket B)</t>
  </si>
  <si>
    <t xml:space="preserve">Paid ($1.5–5k/yr)</t>
  </si>
  <si>
    <t xml:space="preserve">Ocean only; most Canada–US freight is truck and not public.</t>
  </si>
  <si>
    <t xml:space="preserve">US Court of International Trade docket (PACER)</t>
  </si>
  <si>
    <t xml:space="preserve">Companies that sued over IEEPA — proves exposure and sophistication</t>
  </si>
  <si>
    <t xml:space="preserve">Low</t>
  </si>
  <si>
    <t xml:space="preserve">Public record.</t>
  </si>
  <si>
    <t xml:space="preserve">BC Food &amp; Beverage, BC Wood, CME BC, chambers, EDC exporter lists</t>
  </si>
  <si>
    <t xml:space="preserve">Sector directories of US-exporting manufacturers</t>
  </si>
  <si>
    <t xml:space="preserve">Free/membership</t>
  </si>
  <si>
    <t xml:space="preserve">Qualify by phone with the 5 questions.</t>
  </si>
  <si>
    <t xml:space="preserve">Client's own US customer list</t>
  </si>
  <si>
    <t xml:space="preserve">Warm intros to importers of record who paid 35%</t>
  </si>
  <si>
    <t xml:space="preserve">B</t>
  </si>
  <si>
    <t xml:space="preserve">The multiplier. Ask after the findings sheet.</t>
  </si>
  <si>
    <t xml:space="preserve">CBP CSMS bulletins; CBSA Customs Notices; Finance remission orders</t>
  </si>
  <si>
    <t xml:space="preserve">Rule changes, phase openings, deadlines</t>
  </si>
  <si>
    <t xml:space="preserve">all</t>
  </si>
  <si>
    <t xml:space="preserve">Desk reads daily; changes update Assumptions.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</si>
</sst>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$#,##0;&quot;($&quot;#,##0\);\-"/>
    <numFmt numFmtId="167" formatCode="yyyy\-mm\-dd"/>
    <numFmt numFmtId="168" formatCode="0.0%"/>
    <numFmt numFmtId="169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2033"/>
      <name val="Arial"/>
      <family val="0"/>
      <charset val="1"/>
    </font>
    <font>
      <i val="true"/>
      <sz val="10"/>
      <color rgb="FF5B66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9C4A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B6672"/>
      <name val="Arial"/>
      <family val="0"/>
      <charset val="1"/>
    </font>
    <font>
      <b val="true"/>
      <sz val="12"/>
      <color rgb="FF1720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033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B6672"/>
      <rgbColor rgb="FF969696"/>
      <rgbColor rgb="FF003366"/>
      <rgbColor rgb="FF339966"/>
      <rgbColor rgb="FF003300"/>
      <rgbColor rgb="FF333300"/>
      <rgbColor rgb="FF9C4A1A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4" min="4" style="1" width="1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tr">
        <f aca="false">"As of "&amp;TEXT(Assumptions!$D$5,"yyyy-mm-dd")</f>
        <v>As of 2026-09-14</v>
      </c>
    </row>
    <row r="4" customFormat="false" ht="15" hidden="false" customHeight="true" outlineLevel="0" collapsed="false">
      <c r="A4" s="4" t="s">
        <v>1</v>
      </c>
      <c r="D4" s="4" t="s">
        <v>2</v>
      </c>
    </row>
    <row r="5" customFormat="false" ht="15" hidden="false" customHeight="true" outlineLevel="0" collapsed="false">
      <c r="A5" s="5" t="s">
        <v>3</v>
      </c>
      <c r="D5" s="6" t="n">
        <f aca="false">COUNTA(Clients!A2:A200)</f>
        <v>1</v>
      </c>
    </row>
    <row r="6" customFormat="false" ht="15" hidden="false" customHeight="true" outlineLevel="0" collapsed="false">
      <c r="A6" s="5" t="s">
        <v>4</v>
      </c>
      <c r="D6" s="6" t="n">
        <f aca="false">COUNTIF(Clients!G2:G200,"Engaged")+COUNTIF(Clients!G2:G200,"Data in")+COUNTIF(Clients!G2:G200,"Findings sent")+COUNTIF(Clients!G2:G200,"Filed")+COUNTIF(Clients!G2:G200,"Refunded")</f>
        <v>1</v>
      </c>
    </row>
    <row r="7" customFormat="false" ht="15" hidden="false" customHeight="true" outlineLevel="0" collapsed="false">
      <c r="A7" s="5" t="s">
        <v>5</v>
      </c>
      <c r="D7" s="7" t="n">
        <f aca="false">SUM(Clients!K2:K200)</f>
        <v>504000</v>
      </c>
    </row>
    <row r="8" customFormat="false" ht="15" hidden="false" customHeight="true" outlineLevel="0" collapsed="false">
      <c r="A8" s="5" t="s">
        <v>6</v>
      </c>
      <c r="D8" s="7" t="n">
        <f aca="false">SUM(Entries!J2:J1000)</f>
        <v>151750</v>
      </c>
    </row>
    <row r="9" customFormat="false" ht="15" hidden="false" customHeight="true" outlineLevel="0" collapsed="false">
      <c r="A9" s="5" t="s">
        <v>7</v>
      </c>
      <c r="D9" s="7" t="n">
        <f aca="false">SUMIF(Entries!L2:L1000,"Phase 1*",Entries!J2:J1000)</f>
        <v>106750</v>
      </c>
    </row>
    <row r="10" customFormat="false" ht="15" hidden="false" customHeight="true" outlineLevel="0" collapsed="false">
      <c r="A10" s="5" t="s">
        <v>8</v>
      </c>
      <c r="D10" s="7" t="n">
        <f aca="false">SUMIF(Entries!L2:L1000,"Protest required",Entries!J2:J1000)</f>
        <v>0</v>
      </c>
    </row>
    <row r="11" customFormat="false" ht="15" hidden="false" customHeight="true" outlineLevel="0" collapsed="false">
      <c r="A11" s="5" t="s">
        <v>9</v>
      </c>
      <c r="D11" s="7" t="n">
        <f aca="false">SUMIF(Entries!L2:L1000,"Deadline passed — litigation only",Entries!J2:J1000)</f>
        <v>45000</v>
      </c>
    </row>
    <row r="12" customFormat="false" ht="15" hidden="false" customHeight="true" outlineLevel="0" collapsed="false">
      <c r="A12" s="5" t="s">
        <v>10</v>
      </c>
      <c r="D12" s="6" t="n">
        <f aca="false">COUNTIF(Entries!O2:O1000,"&lt;"&amp;Assumptions!$B$17)-COUNTIF(Entries!O2:O1000,"&lt;0")</f>
        <v>0</v>
      </c>
    </row>
    <row r="13" customFormat="false" ht="15" hidden="false" customHeight="true" outlineLevel="0" collapsed="false">
      <c r="A13" s="5" t="s">
        <v>11</v>
      </c>
      <c r="D13" s="6" t="n">
        <f aca="false">COUNTIF(Entries!O2:O1000,"&lt;0")</f>
        <v>1</v>
      </c>
    </row>
    <row r="14" customFormat="false" ht="15" hidden="false" customHeight="true" outlineLevel="0" collapsed="false">
      <c r="A14" s="5" t="s">
        <v>12</v>
      </c>
      <c r="D14" s="6" t="n">
        <f aca="false">COUNTIF(Entries!I2:I1000,"Y")</f>
        <v>2</v>
      </c>
    </row>
    <row r="15" customFormat="false" ht="15" hidden="false" customHeight="true" outlineLevel="0" collapsed="false">
      <c r="A15" s="5" t="s">
        <v>13</v>
      </c>
      <c r="D15" s="7" t="n">
        <f aca="false">SUM(Entries!P2:P1000)</f>
        <v>0</v>
      </c>
    </row>
    <row r="16" customFormat="false" ht="15" hidden="false" customHeight="true" outlineLevel="0" collapsed="false">
      <c r="A16" s="5" t="s">
        <v>14</v>
      </c>
      <c r="D16" s="7" t="n">
        <f aca="false">SUM(Entries!Q2:Q1000)</f>
        <v>0</v>
      </c>
    </row>
    <row r="17" customFormat="false" ht="15" hidden="false" customHeight="true" outlineLevel="0" collapsed="false">
      <c r="A17" s="5" t="s">
        <v>15</v>
      </c>
      <c r="D17" s="7" t="n">
        <f aca="false">SUM(Entries!R2:R1000)</f>
        <v>0</v>
      </c>
    </row>
    <row r="18" customFormat="false" ht="15" hidden="false" customHeight="true" outlineLevel="0" collapsed="false">
      <c r="A18" s="5" t="s">
        <v>16</v>
      </c>
      <c r="D18" s="7" t="n">
        <f aca="false">(D9*Assumptions!$B$11+D10*Assumptions!$B$12)*Assumptions!$B$15</f>
        <v>8540</v>
      </c>
    </row>
    <row r="19" customFormat="false" ht="15" hidden="false" customHeight="true" outlineLevel="0" collapsed="false">
      <c r="A19" s="5" t="s">
        <v>17</v>
      </c>
      <c r="D19" s="7" t="n">
        <f aca="false">D18*(1-Assumptions!$B$14)</f>
        <v>6405</v>
      </c>
    </row>
    <row r="22" customFormat="false" ht="15" hidden="false" customHeight="true" outlineLevel="0" collapsed="false">
      <c r="A22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3" min="3" style="1" width="7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4" t="s">
        <v>21</v>
      </c>
      <c r="B4" s="4" t="s">
        <v>2</v>
      </c>
      <c r="C4" s="4" t="s">
        <v>22</v>
      </c>
    </row>
    <row r="5" customFormat="false" ht="15" hidden="false" customHeight="true" outlineLevel="0" collapsed="false">
      <c r="A5" s="5" t="s">
        <v>23</v>
      </c>
      <c r="B5" s="9"/>
      <c r="C5" s="10" t="s">
        <v>24</v>
      </c>
      <c r="D5" s="11" t="n">
        <f aca="true">IF(B5="",TODAY(),B5)</f>
        <v>46279</v>
      </c>
    </row>
    <row r="6" customFormat="false" ht="15" hidden="false" customHeight="true" outlineLevel="0" collapsed="false">
      <c r="A6" s="5" t="s">
        <v>25</v>
      </c>
      <c r="B6" s="9" t="n">
        <v>180</v>
      </c>
      <c r="C6" s="10" t="s">
        <v>26</v>
      </c>
    </row>
    <row r="7" customFormat="false" ht="15" hidden="false" customHeight="true" outlineLevel="0" collapsed="false">
      <c r="A7" s="5" t="s">
        <v>27</v>
      </c>
      <c r="B7" s="9" t="n">
        <v>80</v>
      </c>
      <c r="C7" s="10" t="s">
        <v>28</v>
      </c>
    </row>
    <row r="8" customFormat="false" ht="15" hidden="false" customHeight="true" outlineLevel="0" collapsed="false">
      <c r="A8" s="5" t="s">
        <v>29</v>
      </c>
      <c r="B8" s="9" t="n">
        <v>314</v>
      </c>
      <c r="C8" s="10" t="s">
        <v>30</v>
      </c>
    </row>
    <row r="9" customFormat="false" ht="15" hidden="false" customHeight="true" outlineLevel="0" collapsed="false">
      <c r="A9" s="5" t="s">
        <v>31</v>
      </c>
      <c r="B9" s="12" t="n">
        <v>45692</v>
      </c>
      <c r="C9" s="10" t="s">
        <v>32</v>
      </c>
    </row>
    <row r="10" customFormat="false" ht="15" hidden="false" customHeight="true" outlineLevel="0" collapsed="false">
      <c r="A10" s="5" t="s">
        <v>33</v>
      </c>
      <c r="B10" s="12" t="n">
        <v>46077</v>
      </c>
      <c r="C10" s="10" t="s">
        <v>34</v>
      </c>
    </row>
    <row r="11" customFormat="false" ht="15" hidden="false" customHeight="true" outlineLevel="0" collapsed="false">
      <c r="A11" s="5" t="s">
        <v>35</v>
      </c>
      <c r="B11" s="13" t="n">
        <v>0.1</v>
      </c>
      <c r="C11" s="10" t="s">
        <v>36</v>
      </c>
    </row>
    <row r="12" customFormat="false" ht="15" hidden="false" customHeight="true" outlineLevel="0" collapsed="false">
      <c r="A12" s="5" t="s">
        <v>37</v>
      </c>
      <c r="B12" s="13" t="n">
        <v>0.225</v>
      </c>
      <c r="C12" s="10" t="s">
        <v>38</v>
      </c>
    </row>
    <row r="13" customFormat="false" ht="15" hidden="false" customHeight="true" outlineLevel="0" collapsed="false">
      <c r="A13" s="5" t="s">
        <v>39</v>
      </c>
      <c r="B13" s="13" t="n">
        <v>0.25</v>
      </c>
      <c r="C13" s="10" t="s">
        <v>40</v>
      </c>
    </row>
    <row r="14" customFormat="false" ht="15" hidden="false" customHeight="true" outlineLevel="0" collapsed="false">
      <c r="A14" s="5" t="s">
        <v>41</v>
      </c>
      <c r="B14" s="13" t="n">
        <v>0.25</v>
      </c>
      <c r="C14" s="10" t="s">
        <v>42</v>
      </c>
    </row>
    <row r="15" customFormat="false" ht="15" hidden="false" customHeight="true" outlineLevel="0" collapsed="false">
      <c r="A15" s="5" t="s">
        <v>43</v>
      </c>
      <c r="B15" s="13" t="n">
        <v>0.8</v>
      </c>
      <c r="C15" s="10" t="s">
        <v>44</v>
      </c>
    </row>
    <row r="16" customFormat="false" ht="15" hidden="false" customHeight="true" outlineLevel="0" collapsed="false">
      <c r="A16" s="5" t="s">
        <v>45</v>
      </c>
      <c r="B16" s="9" t="n">
        <v>730</v>
      </c>
      <c r="C16" s="10" t="s">
        <v>46</v>
      </c>
    </row>
    <row r="17" customFormat="false" ht="15" hidden="false" customHeight="true" outlineLevel="0" collapsed="false">
      <c r="A17" s="5" t="s">
        <v>47</v>
      </c>
      <c r="B17" s="9" t="n">
        <v>30</v>
      </c>
      <c r="C17" s="1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4" min="4" style="1" width="16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5" min="13" style="1" width="11"/>
    <col collapsed="false" customWidth="true" hidden="false" outlineLevel="0" max="16" min="16" style="1" width="9"/>
    <col collapsed="false" customWidth="true" hidden="false" outlineLevel="0" max="17" min="17" style="1" width="16"/>
    <col collapsed="false" customWidth="true" hidden="false" outlineLevel="0" max="18" min="18" style="1" width="13"/>
    <col collapsed="false" customWidth="true" hidden="false" outlineLevel="0" max="19" min="19" style="1" width="11"/>
    <col collapsed="false" customWidth="true" hidden="false" outlineLevel="0" max="22" min="20" style="1" width="14"/>
    <col collapsed="false" customWidth="true" hidden="false" outlineLevel="0" max="23" min="23" style="1" width="40"/>
  </cols>
  <sheetData>
    <row r="1" customFormat="false" ht="42" hidden="false" customHeight="true" outlineLevel="0" collapsed="false">
      <c r="A1" s="14" t="s">
        <v>49</v>
      </c>
      <c r="B1" s="14" t="s">
        <v>50</v>
      </c>
      <c r="C1" s="14" t="s">
        <v>51</v>
      </c>
      <c r="D1" s="14" t="s">
        <v>52</v>
      </c>
      <c r="E1" s="14" t="s">
        <v>53</v>
      </c>
      <c r="F1" s="14" t="s">
        <v>54</v>
      </c>
      <c r="G1" s="14" t="s">
        <v>55</v>
      </c>
      <c r="H1" s="14" t="s">
        <v>56</v>
      </c>
      <c r="I1" s="14" t="s">
        <v>57</v>
      </c>
      <c r="J1" s="14" t="s">
        <v>58</v>
      </c>
      <c r="K1" s="14" t="s">
        <v>59</v>
      </c>
      <c r="L1" s="14" t="s">
        <v>60</v>
      </c>
      <c r="M1" s="14" t="s">
        <v>61</v>
      </c>
      <c r="N1" s="14" t="s">
        <v>62</v>
      </c>
      <c r="O1" s="14" t="s">
        <v>63</v>
      </c>
      <c r="P1" s="14" t="s">
        <v>64</v>
      </c>
      <c r="Q1" s="14" t="s">
        <v>65</v>
      </c>
      <c r="R1" s="14" t="s">
        <v>66</v>
      </c>
      <c r="S1" s="14" t="s">
        <v>67</v>
      </c>
      <c r="T1" s="14" t="s">
        <v>68</v>
      </c>
      <c r="U1" s="14" t="s">
        <v>69</v>
      </c>
      <c r="V1" s="14" t="s">
        <v>70</v>
      </c>
      <c r="W1" s="14" t="s">
        <v>71</v>
      </c>
    </row>
    <row r="2" customFormat="false" ht="15" hidden="false" customHeight="true" outlineLevel="0" collapsed="false">
      <c r="A2" s="15" t="s">
        <v>72</v>
      </c>
      <c r="B2" s="15" t="s">
        <v>73</v>
      </c>
      <c r="C2" s="15" t="s">
        <v>74</v>
      </c>
      <c r="D2" s="15" t="s">
        <v>75</v>
      </c>
      <c r="E2" s="15" t="s">
        <v>76</v>
      </c>
      <c r="F2" s="15" t="s">
        <v>77</v>
      </c>
      <c r="G2" s="15" t="s">
        <v>78</v>
      </c>
      <c r="H2" s="16" t="n">
        <v>2400000</v>
      </c>
      <c r="I2" s="17" t="n">
        <v>0.6</v>
      </c>
      <c r="J2" s="17" t="n">
        <v>0.35</v>
      </c>
      <c r="K2" s="18" t="n">
        <f aca="false">IF(H2="","",H2*I2*J2)</f>
        <v>504000</v>
      </c>
      <c r="L2" s="19" t="n">
        <v>46297</v>
      </c>
      <c r="M2" s="15" t="s">
        <v>79</v>
      </c>
      <c r="N2" s="15" t="s">
        <v>79</v>
      </c>
      <c r="O2" s="15" t="s">
        <v>80</v>
      </c>
      <c r="P2" s="5" t="n">
        <f aca="false">IF(A2="","",COUNTIF(Entries!$B:$B,A2))</f>
        <v>3</v>
      </c>
      <c r="Q2" s="18" t="n">
        <f aca="false">IF(A2="","",SUMIF(Entries!$B:$B,A2,Entries!$J:$J))</f>
        <v>151750</v>
      </c>
      <c r="R2" s="20" t="n">
        <f aca="false">IF(OR(A2="",P2=0),"",_xlfn.MINIFS(Entries!$N:$N,Entries!$B:$B,A2))</f>
        <v>46224</v>
      </c>
      <c r="S2" s="21" t="n">
        <f aca="false">IF(R2="","",R2-Assumptions!$D$5)</f>
        <v>-55</v>
      </c>
      <c r="T2" s="18" t="n">
        <f aca="false">IF(A2="","",SUMIF(Entries!$B:$B,A2,Entries!$P:$P))</f>
        <v>0</v>
      </c>
      <c r="U2" s="18" t="n">
        <f aca="false">IF(A2="","",SUMIF(Entries!$B:$B,A2,Entries!$Q:$Q))</f>
        <v>0</v>
      </c>
      <c r="V2" s="18" t="n">
        <f aca="false">IF(A2="","",SUMIF(Entries!$B:$B,A2,Entries!$R:$R))</f>
        <v>0</v>
      </c>
      <c r="W2" s="15" t="s">
        <v>81</v>
      </c>
    </row>
    <row r="3" customFormat="false" ht="15" hidden="false" customHeight="true" outlineLevel="0" collapsed="false">
      <c r="H3" s="22"/>
      <c r="I3" s="23"/>
      <c r="J3" s="23"/>
      <c r="K3" s="18" t="str">
        <f aca="false">IF(H3="","",H3*I3*J3)</f>
        <v/>
      </c>
      <c r="L3" s="24"/>
      <c r="P3" s="5" t="str">
        <f aca="false">IF(A3="","",COUNTIF(Entries!$B:$B,A3))</f>
        <v/>
      </c>
      <c r="Q3" s="18" t="str">
        <f aca="false">IF(A3="","",SUMIF(Entries!$B:$B,A3,Entries!$J:$J))</f>
        <v/>
      </c>
      <c r="R3" s="20" t="str">
        <f aca="false">IF(OR(A3="",P3=0),"",_xlfn.MINIFS(Entries!$N:$N,Entries!$B:$B,A3))</f>
        <v/>
      </c>
      <c r="S3" s="21" t="str">
        <f aca="false">IF(R3="","",R3-Assumptions!$D$5)</f>
        <v/>
      </c>
      <c r="T3" s="18" t="str">
        <f aca="false">IF(A3="","",SUMIF(Entries!$B:$B,A3,Entries!$P:$P))</f>
        <v/>
      </c>
      <c r="U3" s="18" t="str">
        <f aca="false">IF(A3="","",SUMIF(Entries!$B:$B,A3,Entries!$Q:$Q))</f>
        <v/>
      </c>
      <c r="V3" s="18" t="str">
        <f aca="false">IF(A3="","",SUMIF(Entries!$B:$B,A3,Entries!$R:$R))</f>
        <v/>
      </c>
    </row>
    <row r="4" customFormat="false" ht="15" hidden="false" customHeight="true" outlineLevel="0" collapsed="false">
      <c r="H4" s="22"/>
      <c r="I4" s="23"/>
      <c r="J4" s="23"/>
      <c r="K4" s="18" t="str">
        <f aca="false">IF(H4="","",H4*I4*J4)</f>
        <v/>
      </c>
      <c r="L4" s="24"/>
      <c r="P4" s="5" t="str">
        <f aca="false">IF(A4="","",COUNTIF(Entries!$B:$B,A4))</f>
        <v/>
      </c>
      <c r="Q4" s="18" t="str">
        <f aca="false">IF(A4="","",SUMIF(Entries!$B:$B,A4,Entries!$J:$J))</f>
        <v/>
      </c>
      <c r="R4" s="20" t="str">
        <f aca="false">IF(OR(A4="",P4=0),"",_xlfn.MINIFS(Entries!$N:$N,Entries!$B:$B,A4))</f>
        <v/>
      </c>
      <c r="S4" s="21" t="str">
        <f aca="false">IF(R4="","",R4-Assumptions!$D$5)</f>
        <v/>
      </c>
      <c r="T4" s="18" t="str">
        <f aca="false">IF(A4="","",SUMIF(Entries!$B:$B,A4,Entries!$P:$P))</f>
        <v/>
      </c>
      <c r="U4" s="18" t="str">
        <f aca="false">IF(A4="","",SUMIF(Entries!$B:$B,A4,Entries!$Q:$Q))</f>
        <v/>
      </c>
      <c r="V4" s="18" t="str">
        <f aca="false">IF(A4="","",SUMIF(Entries!$B:$B,A4,Entries!$R:$R))</f>
        <v/>
      </c>
    </row>
    <row r="5" customFormat="false" ht="15" hidden="false" customHeight="true" outlineLevel="0" collapsed="false">
      <c r="H5" s="22"/>
      <c r="I5" s="23"/>
      <c r="J5" s="23"/>
      <c r="K5" s="18" t="str">
        <f aca="false">IF(H5="","",H5*I5*J5)</f>
        <v/>
      </c>
      <c r="L5" s="24"/>
      <c r="P5" s="5" t="str">
        <f aca="false">IF(A5="","",COUNTIF(Entries!$B:$B,A5))</f>
        <v/>
      </c>
      <c r="Q5" s="18" t="str">
        <f aca="false">IF(A5="","",SUMIF(Entries!$B:$B,A5,Entries!$J:$J))</f>
        <v/>
      </c>
      <c r="R5" s="20" t="str">
        <f aca="false">IF(OR(A5="",P5=0),"",_xlfn.MINIFS(Entries!$N:$N,Entries!$B:$B,A5))</f>
        <v/>
      </c>
      <c r="S5" s="21" t="str">
        <f aca="false">IF(R5="","",R5-Assumptions!$D$5)</f>
        <v/>
      </c>
      <c r="T5" s="18" t="str">
        <f aca="false">IF(A5="","",SUMIF(Entries!$B:$B,A5,Entries!$P:$P))</f>
        <v/>
      </c>
      <c r="U5" s="18" t="str">
        <f aca="false">IF(A5="","",SUMIF(Entries!$B:$B,A5,Entries!$Q:$Q))</f>
        <v/>
      </c>
      <c r="V5" s="18" t="str">
        <f aca="false">IF(A5="","",SUMIF(Entries!$B:$B,A5,Entries!$R:$R))</f>
        <v/>
      </c>
    </row>
    <row r="6" customFormat="false" ht="15" hidden="false" customHeight="true" outlineLevel="0" collapsed="false">
      <c r="H6" s="22"/>
      <c r="I6" s="23"/>
      <c r="J6" s="23"/>
      <c r="K6" s="18" t="str">
        <f aca="false">IF(H6="","",H6*I6*J6)</f>
        <v/>
      </c>
      <c r="L6" s="24"/>
      <c r="P6" s="5" t="str">
        <f aca="false">IF(A6="","",COUNTIF(Entries!$B:$B,A6))</f>
        <v/>
      </c>
      <c r="Q6" s="18" t="str">
        <f aca="false">IF(A6="","",SUMIF(Entries!$B:$B,A6,Entries!$J:$J))</f>
        <v/>
      </c>
      <c r="R6" s="20" t="str">
        <f aca="false">IF(OR(A6="",P6=0),"",_xlfn.MINIFS(Entries!$N:$N,Entries!$B:$B,A6))</f>
        <v/>
      </c>
      <c r="S6" s="21" t="str">
        <f aca="false">IF(R6="","",R6-Assumptions!$D$5)</f>
        <v/>
      </c>
      <c r="T6" s="18" t="str">
        <f aca="false">IF(A6="","",SUMIF(Entries!$B:$B,A6,Entries!$P:$P))</f>
        <v/>
      </c>
      <c r="U6" s="18" t="str">
        <f aca="false">IF(A6="","",SUMIF(Entries!$B:$B,A6,Entries!$Q:$Q))</f>
        <v/>
      </c>
      <c r="V6" s="18" t="str">
        <f aca="false">IF(A6="","",SUMIF(Entries!$B:$B,A6,Entries!$R:$R))</f>
        <v/>
      </c>
    </row>
    <row r="7" customFormat="false" ht="15" hidden="false" customHeight="true" outlineLevel="0" collapsed="false">
      <c r="H7" s="22"/>
      <c r="I7" s="23"/>
      <c r="J7" s="23"/>
      <c r="K7" s="18" t="str">
        <f aca="false">IF(H7="","",H7*I7*J7)</f>
        <v/>
      </c>
      <c r="L7" s="24"/>
      <c r="P7" s="5" t="str">
        <f aca="false">IF(A7="","",COUNTIF(Entries!$B:$B,A7))</f>
        <v/>
      </c>
      <c r="Q7" s="18" t="str">
        <f aca="false">IF(A7="","",SUMIF(Entries!$B:$B,A7,Entries!$J:$J))</f>
        <v/>
      </c>
      <c r="R7" s="20" t="str">
        <f aca="false">IF(OR(A7="",P7=0),"",_xlfn.MINIFS(Entries!$N:$N,Entries!$B:$B,A7))</f>
        <v/>
      </c>
      <c r="S7" s="21" t="str">
        <f aca="false">IF(R7="","",R7-Assumptions!$D$5)</f>
        <v/>
      </c>
      <c r="T7" s="18" t="str">
        <f aca="false">IF(A7="","",SUMIF(Entries!$B:$B,A7,Entries!$P:$P))</f>
        <v/>
      </c>
      <c r="U7" s="18" t="str">
        <f aca="false">IF(A7="","",SUMIF(Entries!$B:$B,A7,Entries!$Q:$Q))</f>
        <v/>
      </c>
      <c r="V7" s="18" t="str">
        <f aca="false">IF(A7="","",SUMIF(Entries!$B:$B,A7,Entries!$R:$R))</f>
        <v/>
      </c>
    </row>
    <row r="8" customFormat="false" ht="15" hidden="false" customHeight="true" outlineLevel="0" collapsed="false">
      <c r="H8" s="22"/>
      <c r="I8" s="23"/>
      <c r="J8" s="23"/>
      <c r="K8" s="18" t="str">
        <f aca="false">IF(H8="","",H8*I8*J8)</f>
        <v/>
      </c>
      <c r="L8" s="24"/>
      <c r="P8" s="5" t="str">
        <f aca="false">IF(A8="","",COUNTIF(Entries!$B:$B,A8))</f>
        <v/>
      </c>
      <c r="Q8" s="18" t="str">
        <f aca="false">IF(A8="","",SUMIF(Entries!$B:$B,A8,Entries!$J:$J))</f>
        <v/>
      </c>
      <c r="R8" s="20" t="str">
        <f aca="false">IF(OR(A8="",P8=0),"",_xlfn.MINIFS(Entries!$N:$N,Entries!$B:$B,A8))</f>
        <v/>
      </c>
      <c r="S8" s="21" t="str">
        <f aca="false">IF(R8="","",R8-Assumptions!$D$5)</f>
        <v/>
      </c>
      <c r="T8" s="18" t="str">
        <f aca="false">IF(A8="","",SUMIF(Entries!$B:$B,A8,Entries!$P:$P))</f>
        <v/>
      </c>
      <c r="U8" s="18" t="str">
        <f aca="false">IF(A8="","",SUMIF(Entries!$B:$B,A8,Entries!$Q:$Q))</f>
        <v/>
      </c>
      <c r="V8" s="18" t="str">
        <f aca="false">IF(A8="","",SUMIF(Entries!$B:$B,A8,Entries!$R:$R))</f>
        <v/>
      </c>
    </row>
    <row r="9" customFormat="false" ht="15" hidden="false" customHeight="true" outlineLevel="0" collapsed="false">
      <c r="H9" s="22"/>
      <c r="I9" s="23"/>
      <c r="J9" s="23"/>
      <c r="K9" s="18" t="str">
        <f aca="false">IF(H9="","",H9*I9*J9)</f>
        <v/>
      </c>
      <c r="L9" s="24"/>
      <c r="P9" s="5" t="str">
        <f aca="false">IF(A9="","",COUNTIF(Entries!$B:$B,A9))</f>
        <v/>
      </c>
      <c r="Q9" s="18" t="str">
        <f aca="false">IF(A9="","",SUMIF(Entries!$B:$B,A9,Entries!$J:$J))</f>
        <v/>
      </c>
      <c r="R9" s="20" t="str">
        <f aca="false">IF(OR(A9="",P9=0),"",_xlfn.MINIFS(Entries!$N:$N,Entries!$B:$B,A9))</f>
        <v/>
      </c>
      <c r="S9" s="21" t="str">
        <f aca="false">IF(R9="","",R9-Assumptions!$D$5)</f>
        <v/>
      </c>
      <c r="T9" s="18" t="str">
        <f aca="false">IF(A9="","",SUMIF(Entries!$B:$B,A9,Entries!$P:$P))</f>
        <v/>
      </c>
      <c r="U9" s="18" t="str">
        <f aca="false">IF(A9="","",SUMIF(Entries!$B:$B,A9,Entries!$Q:$Q))</f>
        <v/>
      </c>
      <c r="V9" s="18" t="str">
        <f aca="false">IF(A9="","",SUMIF(Entries!$B:$B,A9,Entries!$R:$R))</f>
        <v/>
      </c>
    </row>
    <row r="10" customFormat="false" ht="15" hidden="false" customHeight="true" outlineLevel="0" collapsed="false">
      <c r="H10" s="22"/>
      <c r="I10" s="23"/>
      <c r="J10" s="23"/>
      <c r="K10" s="18" t="str">
        <f aca="false">IF(H10="","",H10*I10*J10)</f>
        <v/>
      </c>
      <c r="L10" s="24"/>
      <c r="P10" s="5" t="str">
        <f aca="false">IF(A10="","",COUNTIF(Entries!$B:$B,A10))</f>
        <v/>
      </c>
      <c r="Q10" s="18" t="str">
        <f aca="false">IF(A10="","",SUMIF(Entries!$B:$B,A10,Entries!$J:$J))</f>
        <v/>
      </c>
      <c r="R10" s="20" t="str">
        <f aca="false">IF(OR(A10="",P10=0),"",_xlfn.MINIFS(Entries!$N:$N,Entries!$B:$B,A10))</f>
        <v/>
      </c>
      <c r="S10" s="21" t="str">
        <f aca="false">IF(R10="","",R10-Assumptions!$D$5)</f>
        <v/>
      </c>
      <c r="T10" s="18" t="str">
        <f aca="false">IF(A10="","",SUMIF(Entries!$B:$B,A10,Entries!$P:$P))</f>
        <v/>
      </c>
      <c r="U10" s="18" t="str">
        <f aca="false">IF(A10="","",SUMIF(Entries!$B:$B,A10,Entries!$Q:$Q))</f>
        <v/>
      </c>
      <c r="V10" s="18" t="str">
        <f aca="false">IF(A10="","",SUMIF(Entries!$B:$B,A10,Entries!$R:$R))</f>
        <v/>
      </c>
    </row>
    <row r="11" customFormat="false" ht="15" hidden="false" customHeight="true" outlineLevel="0" collapsed="false">
      <c r="H11" s="22"/>
      <c r="I11" s="23"/>
      <c r="J11" s="23"/>
      <c r="K11" s="18" t="str">
        <f aca="false">IF(H11="","",H11*I11*J11)</f>
        <v/>
      </c>
      <c r="L11" s="24"/>
      <c r="P11" s="5" t="str">
        <f aca="false">IF(A11="","",COUNTIF(Entries!$B:$B,A11))</f>
        <v/>
      </c>
      <c r="Q11" s="18" t="str">
        <f aca="false">IF(A11="","",SUMIF(Entries!$B:$B,A11,Entries!$J:$J))</f>
        <v/>
      </c>
      <c r="R11" s="20" t="str">
        <f aca="false">IF(OR(A11="",P11=0),"",_xlfn.MINIFS(Entries!$N:$N,Entries!$B:$B,A11))</f>
        <v/>
      </c>
      <c r="S11" s="21" t="str">
        <f aca="false">IF(R11="","",R11-Assumptions!$D$5)</f>
        <v/>
      </c>
      <c r="T11" s="18" t="str">
        <f aca="false">IF(A11="","",SUMIF(Entries!$B:$B,A11,Entries!$P:$P))</f>
        <v/>
      </c>
      <c r="U11" s="18" t="str">
        <f aca="false">IF(A11="","",SUMIF(Entries!$B:$B,A11,Entries!$Q:$Q))</f>
        <v/>
      </c>
      <c r="V11" s="18" t="str">
        <f aca="false">IF(A11="","",SUMIF(Entries!$B:$B,A11,Entries!$R:$R))</f>
        <v/>
      </c>
    </row>
    <row r="12" customFormat="false" ht="15" hidden="false" customHeight="true" outlineLevel="0" collapsed="false">
      <c r="H12" s="22"/>
      <c r="I12" s="23"/>
      <c r="J12" s="23"/>
      <c r="K12" s="18" t="str">
        <f aca="false">IF(H12="","",H12*I12*J12)</f>
        <v/>
      </c>
      <c r="L12" s="24"/>
      <c r="P12" s="5" t="str">
        <f aca="false">IF(A12="","",COUNTIF(Entries!$B:$B,A12))</f>
        <v/>
      </c>
      <c r="Q12" s="18" t="str">
        <f aca="false">IF(A12="","",SUMIF(Entries!$B:$B,A12,Entries!$J:$J))</f>
        <v/>
      </c>
      <c r="R12" s="20" t="str">
        <f aca="false">IF(OR(A12="",P12=0),"",_xlfn.MINIFS(Entries!$N:$N,Entries!$B:$B,A12))</f>
        <v/>
      </c>
      <c r="S12" s="21" t="str">
        <f aca="false">IF(R12="","",R12-Assumptions!$D$5)</f>
        <v/>
      </c>
      <c r="T12" s="18" t="str">
        <f aca="false">IF(A12="","",SUMIF(Entries!$B:$B,A12,Entries!$P:$P))</f>
        <v/>
      </c>
      <c r="U12" s="18" t="str">
        <f aca="false">IF(A12="","",SUMIF(Entries!$B:$B,A12,Entries!$Q:$Q))</f>
        <v/>
      </c>
      <c r="V12" s="18" t="str">
        <f aca="false">IF(A12="","",SUMIF(Entries!$B:$B,A12,Entries!$R:$R))</f>
        <v/>
      </c>
    </row>
    <row r="13" customFormat="false" ht="15" hidden="false" customHeight="true" outlineLevel="0" collapsed="false">
      <c r="H13" s="22"/>
      <c r="I13" s="23"/>
      <c r="J13" s="23"/>
      <c r="K13" s="18" t="str">
        <f aca="false">IF(H13="","",H13*I13*J13)</f>
        <v/>
      </c>
      <c r="L13" s="24"/>
      <c r="P13" s="5" t="str">
        <f aca="false">IF(A13="","",COUNTIF(Entries!$B:$B,A13))</f>
        <v/>
      </c>
      <c r="Q13" s="18" t="str">
        <f aca="false">IF(A13="","",SUMIF(Entries!$B:$B,A13,Entries!$J:$J))</f>
        <v/>
      </c>
      <c r="R13" s="20" t="str">
        <f aca="false">IF(OR(A13="",P13=0),"",_xlfn.MINIFS(Entries!$N:$N,Entries!$B:$B,A13))</f>
        <v/>
      </c>
      <c r="S13" s="21" t="str">
        <f aca="false">IF(R13="","",R13-Assumptions!$D$5)</f>
        <v/>
      </c>
      <c r="T13" s="18" t="str">
        <f aca="false">IF(A13="","",SUMIF(Entries!$B:$B,A13,Entries!$P:$P))</f>
        <v/>
      </c>
      <c r="U13" s="18" t="str">
        <f aca="false">IF(A13="","",SUMIF(Entries!$B:$B,A13,Entries!$Q:$Q))</f>
        <v/>
      </c>
      <c r="V13" s="18" t="str">
        <f aca="false">IF(A13="","",SUMIF(Entries!$B:$B,A13,Entries!$R:$R))</f>
        <v/>
      </c>
    </row>
    <row r="14" customFormat="false" ht="15" hidden="false" customHeight="true" outlineLevel="0" collapsed="false">
      <c r="H14" s="22"/>
      <c r="I14" s="23"/>
      <c r="J14" s="23"/>
      <c r="K14" s="18" t="str">
        <f aca="false">IF(H14="","",H14*I14*J14)</f>
        <v/>
      </c>
      <c r="L14" s="24"/>
      <c r="P14" s="5" t="str">
        <f aca="false">IF(A14="","",COUNTIF(Entries!$B:$B,A14))</f>
        <v/>
      </c>
      <c r="Q14" s="18" t="str">
        <f aca="false">IF(A14="","",SUMIF(Entries!$B:$B,A14,Entries!$J:$J))</f>
        <v/>
      </c>
      <c r="R14" s="20" t="str">
        <f aca="false">IF(OR(A14="",P14=0),"",_xlfn.MINIFS(Entries!$N:$N,Entries!$B:$B,A14))</f>
        <v/>
      </c>
      <c r="S14" s="21" t="str">
        <f aca="false">IF(R14="","",R14-Assumptions!$D$5)</f>
        <v/>
      </c>
      <c r="T14" s="18" t="str">
        <f aca="false">IF(A14="","",SUMIF(Entries!$B:$B,A14,Entries!$P:$P))</f>
        <v/>
      </c>
      <c r="U14" s="18" t="str">
        <f aca="false">IF(A14="","",SUMIF(Entries!$B:$B,A14,Entries!$Q:$Q))</f>
        <v/>
      </c>
      <c r="V14" s="18" t="str">
        <f aca="false">IF(A14="","",SUMIF(Entries!$B:$B,A14,Entries!$R:$R))</f>
        <v/>
      </c>
    </row>
    <row r="15" customFormat="false" ht="15" hidden="false" customHeight="true" outlineLevel="0" collapsed="false">
      <c r="H15" s="22"/>
      <c r="I15" s="23"/>
      <c r="J15" s="23"/>
      <c r="K15" s="18" t="str">
        <f aca="false">IF(H15="","",H15*I15*J15)</f>
        <v/>
      </c>
      <c r="L15" s="24"/>
      <c r="P15" s="5" t="str">
        <f aca="false">IF(A15="","",COUNTIF(Entries!$B:$B,A15))</f>
        <v/>
      </c>
      <c r="Q15" s="18" t="str">
        <f aca="false">IF(A15="","",SUMIF(Entries!$B:$B,A15,Entries!$J:$J))</f>
        <v/>
      </c>
      <c r="R15" s="20" t="str">
        <f aca="false">IF(OR(A15="",P15=0),"",_xlfn.MINIFS(Entries!$N:$N,Entries!$B:$B,A15))</f>
        <v/>
      </c>
      <c r="S15" s="21" t="str">
        <f aca="false">IF(R15="","",R15-Assumptions!$D$5)</f>
        <v/>
      </c>
      <c r="T15" s="18" t="str">
        <f aca="false">IF(A15="","",SUMIF(Entries!$B:$B,A15,Entries!$P:$P))</f>
        <v/>
      </c>
      <c r="U15" s="18" t="str">
        <f aca="false">IF(A15="","",SUMIF(Entries!$B:$B,A15,Entries!$Q:$Q))</f>
        <v/>
      </c>
      <c r="V15" s="18" t="str">
        <f aca="false">IF(A15="","",SUMIF(Entries!$B:$B,A15,Entries!$R:$R))</f>
        <v/>
      </c>
    </row>
    <row r="16" customFormat="false" ht="15" hidden="false" customHeight="true" outlineLevel="0" collapsed="false">
      <c r="H16" s="22"/>
      <c r="I16" s="23"/>
      <c r="J16" s="23"/>
      <c r="K16" s="18" t="str">
        <f aca="false">IF(H16="","",H16*I16*J16)</f>
        <v/>
      </c>
      <c r="L16" s="24"/>
      <c r="P16" s="5" t="str">
        <f aca="false">IF(A16="","",COUNTIF(Entries!$B:$B,A16))</f>
        <v/>
      </c>
      <c r="Q16" s="18" t="str">
        <f aca="false">IF(A16="","",SUMIF(Entries!$B:$B,A16,Entries!$J:$J))</f>
        <v/>
      </c>
      <c r="R16" s="20" t="str">
        <f aca="false">IF(OR(A16="",P16=0),"",_xlfn.MINIFS(Entries!$N:$N,Entries!$B:$B,A16))</f>
        <v/>
      </c>
      <c r="S16" s="21" t="str">
        <f aca="false">IF(R16="","",R16-Assumptions!$D$5)</f>
        <v/>
      </c>
      <c r="T16" s="18" t="str">
        <f aca="false">IF(A16="","",SUMIF(Entries!$B:$B,A16,Entries!$P:$P))</f>
        <v/>
      </c>
      <c r="U16" s="18" t="str">
        <f aca="false">IF(A16="","",SUMIF(Entries!$B:$B,A16,Entries!$Q:$Q))</f>
        <v/>
      </c>
      <c r="V16" s="18" t="str">
        <f aca="false">IF(A16="","",SUMIF(Entries!$B:$B,A16,Entries!$R:$R))</f>
        <v/>
      </c>
    </row>
    <row r="17" customFormat="false" ht="15" hidden="false" customHeight="true" outlineLevel="0" collapsed="false">
      <c r="H17" s="22"/>
      <c r="I17" s="23"/>
      <c r="J17" s="23"/>
      <c r="K17" s="18" t="str">
        <f aca="false">IF(H17="","",H17*I17*J17)</f>
        <v/>
      </c>
      <c r="L17" s="24"/>
      <c r="P17" s="5" t="str">
        <f aca="false">IF(A17="","",COUNTIF(Entries!$B:$B,A17))</f>
        <v/>
      </c>
      <c r="Q17" s="18" t="str">
        <f aca="false">IF(A17="","",SUMIF(Entries!$B:$B,A17,Entries!$J:$J))</f>
        <v/>
      </c>
      <c r="R17" s="20" t="str">
        <f aca="false">IF(OR(A17="",P17=0),"",_xlfn.MINIFS(Entries!$N:$N,Entries!$B:$B,A17))</f>
        <v/>
      </c>
      <c r="S17" s="21" t="str">
        <f aca="false">IF(R17="","",R17-Assumptions!$D$5)</f>
        <v/>
      </c>
      <c r="T17" s="18" t="str">
        <f aca="false">IF(A17="","",SUMIF(Entries!$B:$B,A17,Entries!$P:$P))</f>
        <v/>
      </c>
      <c r="U17" s="18" t="str">
        <f aca="false">IF(A17="","",SUMIF(Entries!$B:$B,A17,Entries!$Q:$Q))</f>
        <v/>
      </c>
      <c r="V17" s="18" t="str">
        <f aca="false">IF(A17="","",SUMIF(Entries!$B:$B,A17,Entries!$R:$R))</f>
        <v/>
      </c>
    </row>
    <row r="18" customFormat="false" ht="15" hidden="false" customHeight="true" outlineLevel="0" collapsed="false">
      <c r="H18" s="22"/>
      <c r="I18" s="23"/>
      <c r="J18" s="23"/>
      <c r="K18" s="18" t="str">
        <f aca="false">IF(H18="","",H18*I18*J18)</f>
        <v/>
      </c>
      <c r="L18" s="24"/>
      <c r="P18" s="5" t="str">
        <f aca="false">IF(A18="","",COUNTIF(Entries!$B:$B,A18))</f>
        <v/>
      </c>
      <c r="Q18" s="18" t="str">
        <f aca="false">IF(A18="","",SUMIF(Entries!$B:$B,A18,Entries!$J:$J))</f>
        <v/>
      </c>
      <c r="R18" s="20" t="str">
        <f aca="false">IF(OR(A18="",P18=0),"",_xlfn.MINIFS(Entries!$N:$N,Entries!$B:$B,A18))</f>
        <v/>
      </c>
      <c r="S18" s="21" t="str">
        <f aca="false">IF(R18="","",R18-Assumptions!$D$5)</f>
        <v/>
      </c>
      <c r="T18" s="18" t="str">
        <f aca="false">IF(A18="","",SUMIF(Entries!$B:$B,A18,Entries!$P:$P))</f>
        <v/>
      </c>
      <c r="U18" s="18" t="str">
        <f aca="false">IF(A18="","",SUMIF(Entries!$B:$B,A18,Entries!$Q:$Q))</f>
        <v/>
      </c>
      <c r="V18" s="18" t="str">
        <f aca="false">IF(A18="","",SUMIF(Entries!$B:$B,A18,Entries!$R:$R))</f>
        <v/>
      </c>
    </row>
    <row r="19" customFormat="false" ht="15" hidden="false" customHeight="true" outlineLevel="0" collapsed="false">
      <c r="H19" s="22"/>
      <c r="I19" s="23"/>
      <c r="J19" s="23"/>
      <c r="K19" s="18" t="str">
        <f aca="false">IF(H19="","",H19*I19*J19)</f>
        <v/>
      </c>
      <c r="L19" s="24"/>
      <c r="P19" s="5" t="str">
        <f aca="false">IF(A19="","",COUNTIF(Entries!$B:$B,A19))</f>
        <v/>
      </c>
      <c r="Q19" s="18" t="str">
        <f aca="false">IF(A19="","",SUMIF(Entries!$B:$B,A19,Entries!$J:$J))</f>
        <v/>
      </c>
      <c r="R19" s="20" t="str">
        <f aca="false">IF(OR(A19="",P19=0),"",_xlfn.MINIFS(Entries!$N:$N,Entries!$B:$B,A19))</f>
        <v/>
      </c>
      <c r="S19" s="21" t="str">
        <f aca="false">IF(R19="","",R19-Assumptions!$D$5)</f>
        <v/>
      </c>
      <c r="T19" s="18" t="str">
        <f aca="false">IF(A19="","",SUMIF(Entries!$B:$B,A19,Entries!$P:$P))</f>
        <v/>
      </c>
      <c r="U19" s="18" t="str">
        <f aca="false">IF(A19="","",SUMIF(Entries!$B:$B,A19,Entries!$Q:$Q))</f>
        <v/>
      </c>
      <c r="V19" s="18" t="str">
        <f aca="false">IF(A19="","",SUMIF(Entries!$B:$B,A19,Entries!$R:$R))</f>
        <v/>
      </c>
    </row>
    <row r="20" customFormat="false" ht="15" hidden="false" customHeight="true" outlineLevel="0" collapsed="false">
      <c r="H20" s="22"/>
      <c r="I20" s="23"/>
      <c r="J20" s="23"/>
      <c r="K20" s="18" t="str">
        <f aca="false">IF(H20="","",H20*I20*J20)</f>
        <v/>
      </c>
      <c r="L20" s="24"/>
      <c r="P20" s="5" t="str">
        <f aca="false">IF(A20="","",COUNTIF(Entries!$B:$B,A20))</f>
        <v/>
      </c>
      <c r="Q20" s="18" t="str">
        <f aca="false">IF(A20="","",SUMIF(Entries!$B:$B,A20,Entries!$J:$J))</f>
        <v/>
      </c>
      <c r="R20" s="20" t="str">
        <f aca="false">IF(OR(A20="",P20=0),"",_xlfn.MINIFS(Entries!$N:$N,Entries!$B:$B,A20))</f>
        <v/>
      </c>
      <c r="S20" s="21" t="str">
        <f aca="false">IF(R20="","",R20-Assumptions!$D$5)</f>
        <v/>
      </c>
      <c r="T20" s="18" t="str">
        <f aca="false">IF(A20="","",SUMIF(Entries!$B:$B,A20,Entries!$P:$P))</f>
        <v/>
      </c>
      <c r="U20" s="18" t="str">
        <f aca="false">IF(A20="","",SUMIF(Entries!$B:$B,A20,Entries!$Q:$Q))</f>
        <v/>
      </c>
      <c r="V20" s="18" t="str">
        <f aca="false">IF(A20="","",SUMIF(Entries!$B:$B,A20,Entries!$R:$R))</f>
        <v/>
      </c>
    </row>
    <row r="21" customFormat="false" ht="15" hidden="false" customHeight="true" outlineLevel="0" collapsed="false">
      <c r="H21" s="22"/>
      <c r="I21" s="23"/>
      <c r="J21" s="23"/>
      <c r="K21" s="18" t="str">
        <f aca="false">IF(H21="","",H21*I21*J21)</f>
        <v/>
      </c>
      <c r="L21" s="24"/>
      <c r="P21" s="5" t="str">
        <f aca="false">IF(A21="","",COUNTIF(Entries!$B:$B,A21))</f>
        <v/>
      </c>
      <c r="Q21" s="18" t="str">
        <f aca="false">IF(A21="","",SUMIF(Entries!$B:$B,A21,Entries!$J:$J))</f>
        <v/>
      </c>
      <c r="R21" s="20" t="str">
        <f aca="false">IF(OR(A21="",P21=0),"",_xlfn.MINIFS(Entries!$N:$N,Entries!$B:$B,A21))</f>
        <v/>
      </c>
      <c r="S21" s="21" t="str">
        <f aca="false">IF(R21="","",R21-Assumptions!$D$5)</f>
        <v/>
      </c>
      <c r="T21" s="18" t="str">
        <f aca="false">IF(A21="","",SUMIF(Entries!$B:$B,A21,Entries!$P:$P))</f>
        <v/>
      </c>
      <c r="U21" s="18" t="str">
        <f aca="false">IF(A21="","",SUMIF(Entries!$B:$B,A21,Entries!$Q:$Q))</f>
        <v/>
      </c>
      <c r="V21" s="18" t="str">
        <f aca="false">IF(A21="","",SUMIF(Entries!$B:$B,A21,Entries!$R:$R))</f>
        <v/>
      </c>
    </row>
    <row r="22" customFormat="false" ht="15" hidden="false" customHeight="true" outlineLevel="0" collapsed="false">
      <c r="H22" s="22"/>
      <c r="I22" s="23"/>
      <c r="J22" s="23"/>
      <c r="K22" s="18" t="str">
        <f aca="false">IF(H22="","",H22*I22*J22)</f>
        <v/>
      </c>
      <c r="L22" s="24"/>
      <c r="P22" s="5" t="str">
        <f aca="false">IF(A22="","",COUNTIF(Entries!$B:$B,A22))</f>
        <v/>
      </c>
      <c r="Q22" s="18" t="str">
        <f aca="false">IF(A22="","",SUMIF(Entries!$B:$B,A22,Entries!$J:$J))</f>
        <v/>
      </c>
      <c r="R22" s="20" t="str">
        <f aca="false">IF(OR(A22="",P22=0),"",_xlfn.MINIFS(Entries!$N:$N,Entries!$B:$B,A22))</f>
        <v/>
      </c>
      <c r="S22" s="21" t="str">
        <f aca="false">IF(R22="","",R22-Assumptions!$D$5)</f>
        <v/>
      </c>
      <c r="T22" s="18" t="str">
        <f aca="false">IF(A22="","",SUMIF(Entries!$B:$B,A22,Entries!$P:$P))</f>
        <v/>
      </c>
      <c r="U22" s="18" t="str">
        <f aca="false">IF(A22="","",SUMIF(Entries!$B:$B,A22,Entries!$Q:$Q))</f>
        <v/>
      </c>
      <c r="V22" s="18" t="str">
        <f aca="false">IF(A22="","",SUMIF(Entries!$B:$B,A22,Entries!$R:$R))</f>
        <v/>
      </c>
    </row>
    <row r="23" customFormat="false" ht="15" hidden="false" customHeight="true" outlineLevel="0" collapsed="false">
      <c r="H23" s="22"/>
      <c r="I23" s="23"/>
      <c r="J23" s="23"/>
      <c r="K23" s="18" t="str">
        <f aca="false">IF(H23="","",H23*I23*J23)</f>
        <v/>
      </c>
      <c r="L23" s="24"/>
      <c r="P23" s="5" t="str">
        <f aca="false">IF(A23="","",COUNTIF(Entries!$B:$B,A23))</f>
        <v/>
      </c>
      <c r="Q23" s="18" t="str">
        <f aca="false">IF(A23="","",SUMIF(Entries!$B:$B,A23,Entries!$J:$J))</f>
        <v/>
      </c>
      <c r="R23" s="20" t="str">
        <f aca="false">IF(OR(A23="",P23=0),"",_xlfn.MINIFS(Entries!$N:$N,Entries!$B:$B,A23))</f>
        <v/>
      </c>
      <c r="S23" s="21" t="str">
        <f aca="false">IF(R23="","",R23-Assumptions!$D$5)</f>
        <v/>
      </c>
      <c r="T23" s="18" t="str">
        <f aca="false">IF(A23="","",SUMIF(Entries!$B:$B,A23,Entries!$P:$P))</f>
        <v/>
      </c>
      <c r="U23" s="18" t="str">
        <f aca="false">IF(A23="","",SUMIF(Entries!$B:$B,A23,Entries!$Q:$Q))</f>
        <v/>
      </c>
      <c r="V23" s="18" t="str">
        <f aca="false">IF(A23="","",SUMIF(Entries!$B:$B,A23,Entries!$R:$R))</f>
        <v/>
      </c>
    </row>
    <row r="24" customFormat="false" ht="15" hidden="false" customHeight="true" outlineLevel="0" collapsed="false">
      <c r="H24" s="22"/>
      <c r="I24" s="23"/>
      <c r="J24" s="23"/>
      <c r="K24" s="18" t="str">
        <f aca="false">IF(H24="","",H24*I24*J24)</f>
        <v/>
      </c>
      <c r="L24" s="24"/>
      <c r="P24" s="5" t="str">
        <f aca="false">IF(A24="","",COUNTIF(Entries!$B:$B,A24))</f>
        <v/>
      </c>
      <c r="Q24" s="18" t="str">
        <f aca="false">IF(A24="","",SUMIF(Entries!$B:$B,A24,Entries!$J:$J))</f>
        <v/>
      </c>
      <c r="R24" s="20" t="str">
        <f aca="false">IF(OR(A24="",P24=0),"",_xlfn.MINIFS(Entries!$N:$N,Entries!$B:$B,A24))</f>
        <v/>
      </c>
      <c r="S24" s="21" t="str">
        <f aca="false">IF(R24="","",R24-Assumptions!$D$5)</f>
        <v/>
      </c>
      <c r="T24" s="18" t="str">
        <f aca="false">IF(A24="","",SUMIF(Entries!$B:$B,A24,Entries!$P:$P))</f>
        <v/>
      </c>
      <c r="U24" s="18" t="str">
        <f aca="false">IF(A24="","",SUMIF(Entries!$B:$B,A24,Entries!$Q:$Q))</f>
        <v/>
      </c>
      <c r="V24" s="18" t="str">
        <f aca="false">IF(A24="","",SUMIF(Entries!$B:$B,A24,Entries!$R:$R))</f>
        <v/>
      </c>
    </row>
    <row r="25" customFormat="false" ht="15" hidden="false" customHeight="true" outlineLevel="0" collapsed="false">
      <c r="H25" s="22"/>
      <c r="I25" s="23"/>
      <c r="J25" s="23"/>
      <c r="K25" s="18" t="str">
        <f aca="false">IF(H25="","",H25*I25*J25)</f>
        <v/>
      </c>
      <c r="L25" s="24"/>
      <c r="P25" s="5" t="str">
        <f aca="false">IF(A25="","",COUNTIF(Entries!$B:$B,A25))</f>
        <v/>
      </c>
      <c r="Q25" s="18" t="str">
        <f aca="false">IF(A25="","",SUMIF(Entries!$B:$B,A25,Entries!$J:$J))</f>
        <v/>
      </c>
      <c r="R25" s="20" t="str">
        <f aca="false">IF(OR(A25="",P25=0),"",_xlfn.MINIFS(Entries!$N:$N,Entries!$B:$B,A25))</f>
        <v/>
      </c>
      <c r="S25" s="21" t="str">
        <f aca="false">IF(R25="","",R25-Assumptions!$D$5)</f>
        <v/>
      </c>
      <c r="T25" s="18" t="str">
        <f aca="false">IF(A25="","",SUMIF(Entries!$B:$B,A25,Entries!$P:$P))</f>
        <v/>
      </c>
      <c r="U25" s="18" t="str">
        <f aca="false">IF(A25="","",SUMIF(Entries!$B:$B,A25,Entries!$Q:$Q))</f>
        <v/>
      </c>
      <c r="V25" s="18" t="str">
        <f aca="false">IF(A25="","",SUMIF(Entries!$B:$B,A25,Entries!$R:$R))</f>
        <v/>
      </c>
    </row>
    <row r="26" customFormat="false" ht="15" hidden="false" customHeight="true" outlineLevel="0" collapsed="false">
      <c r="H26" s="22"/>
      <c r="I26" s="23"/>
      <c r="J26" s="23"/>
      <c r="K26" s="18" t="str">
        <f aca="false">IF(H26="","",H26*I26*J26)</f>
        <v/>
      </c>
      <c r="L26" s="24"/>
      <c r="P26" s="5" t="str">
        <f aca="false">IF(A26="","",COUNTIF(Entries!$B:$B,A26))</f>
        <v/>
      </c>
      <c r="Q26" s="18" t="str">
        <f aca="false">IF(A26="","",SUMIF(Entries!$B:$B,A26,Entries!$J:$J))</f>
        <v/>
      </c>
      <c r="R26" s="20" t="str">
        <f aca="false">IF(OR(A26="",P26=0),"",_xlfn.MINIFS(Entries!$N:$N,Entries!$B:$B,A26))</f>
        <v/>
      </c>
      <c r="S26" s="21" t="str">
        <f aca="false">IF(R26="","",R26-Assumptions!$D$5)</f>
        <v/>
      </c>
      <c r="T26" s="18" t="str">
        <f aca="false">IF(A26="","",SUMIF(Entries!$B:$B,A26,Entries!$P:$P))</f>
        <v/>
      </c>
      <c r="U26" s="18" t="str">
        <f aca="false">IF(A26="","",SUMIF(Entries!$B:$B,A26,Entries!$Q:$Q))</f>
        <v/>
      </c>
      <c r="V26" s="18" t="str">
        <f aca="false">IF(A26="","",SUMIF(Entries!$B:$B,A26,Entries!$R:$R))</f>
        <v/>
      </c>
    </row>
    <row r="27" customFormat="false" ht="15" hidden="false" customHeight="true" outlineLevel="0" collapsed="false">
      <c r="H27" s="22"/>
      <c r="I27" s="23"/>
      <c r="J27" s="23"/>
      <c r="K27" s="18" t="str">
        <f aca="false">IF(H27="","",H27*I27*J27)</f>
        <v/>
      </c>
      <c r="L27" s="24"/>
      <c r="P27" s="5" t="str">
        <f aca="false">IF(A27="","",COUNTIF(Entries!$B:$B,A27))</f>
        <v/>
      </c>
      <c r="Q27" s="18" t="str">
        <f aca="false">IF(A27="","",SUMIF(Entries!$B:$B,A27,Entries!$J:$J))</f>
        <v/>
      </c>
      <c r="R27" s="20" t="str">
        <f aca="false">IF(OR(A27="",P27=0),"",_xlfn.MINIFS(Entries!$N:$N,Entries!$B:$B,A27))</f>
        <v/>
      </c>
      <c r="S27" s="21" t="str">
        <f aca="false">IF(R27="","",R27-Assumptions!$D$5)</f>
        <v/>
      </c>
      <c r="T27" s="18" t="str">
        <f aca="false">IF(A27="","",SUMIF(Entries!$B:$B,A27,Entries!$P:$P))</f>
        <v/>
      </c>
      <c r="U27" s="18" t="str">
        <f aca="false">IF(A27="","",SUMIF(Entries!$B:$B,A27,Entries!$Q:$Q))</f>
        <v/>
      </c>
      <c r="V27" s="18" t="str">
        <f aca="false">IF(A27="","",SUMIF(Entries!$B:$B,A27,Entries!$R:$R))</f>
        <v/>
      </c>
    </row>
    <row r="28" customFormat="false" ht="15" hidden="false" customHeight="true" outlineLevel="0" collapsed="false">
      <c r="H28" s="22"/>
      <c r="I28" s="23"/>
      <c r="J28" s="23"/>
      <c r="K28" s="18" t="str">
        <f aca="false">IF(H28="","",H28*I28*J28)</f>
        <v/>
      </c>
      <c r="L28" s="24"/>
      <c r="P28" s="5" t="str">
        <f aca="false">IF(A28="","",COUNTIF(Entries!$B:$B,A28))</f>
        <v/>
      </c>
      <c r="Q28" s="18" t="str">
        <f aca="false">IF(A28="","",SUMIF(Entries!$B:$B,A28,Entries!$J:$J))</f>
        <v/>
      </c>
      <c r="R28" s="20" t="str">
        <f aca="false">IF(OR(A28="",P28=0),"",_xlfn.MINIFS(Entries!$N:$N,Entries!$B:$B,A28))</f>
        <v/>
      </c>
      <c r="S28" s="21" t="str">
        <f aca="false">IF(R28="","",R28-Assumptions!$D$5)</f>
        <v/>
      </c>
      <c r="T28" s="18" t="str">
        <f aca="false">IF(A28="","",SUMIF(Entries!$B:$B,A28,Entries!$P:$P))</f>
        <v/>
      </c>
      <c r="U28" s="18" t="str">
        <f aca="false">IF(A28="","",SUMIF(Entries!$B:$B,A28,Entries!$Q:$Q))</f>
        <v/>
      </c>
      <c r="V28" s="18" t="str">
        <f aca="false">IF(A28="","",SUMIF(Entries!$B:$B,A28,Entries!$R:$R))</f>
        <v/>
      </c>
    </row>
    <row r="29" customFormat="false" ht="15" hidden="false" customHeight="true" outlineLevel="0" collapsed="false">
      <c r="H29" s="22"/>
      <c r="I29" s="23"/>
      <c r="J29" s="23"/>
      <c r="K29" s="18" t="str">
        <f aca="false">IF(H29="","",H29*I29*J29)</f>
        <v/>
      </c>
      <c r="L29" s="24"/>
      <c r="P29" s="5" t="str">
        <f aca="false">IF(A29="","",COUNTIF(Entries!$B:$B,A29))</f>
        <v/>
      </c>
      <c r="Q29" s="18" t="str">
        <f aca="false">IF(A29="","",SUMIF(Entries!$B:$B,A29,Entries!$J:$J))</f>
        <v/>
      </c>
      <c r="R29" s="20" t="str">
        <f aca="false">IF(OR(A29="",P29=0),"",_xlfn.MINIFS(Entries!$N:$N,Entries!$B:$B,A29))</f>
        <v/>
      </c>
      <c r="S29" s="21" t="str">
        <f aca="false">IF(R29="","",R29-Assumptions!$D$5)</f>
        <v/>
      </c>
      <c r="T29" s="18" t="str">
        <f aca="false">IF(A29="","",SUMIF(Entries!$B:$B,A29,Entries!$P:$P))</f>
        <v/>
      </c>
      <c r="U29" s="18" t="str">
        <f aca="false">IF(A29="","",SUMIF(Entries!$B:$B,A29,Entries!$Q:$Q))</f>
        <v/>
      </c>
      <c r="V29" s="18" t="str">
        <f aca="false">IF(A29="","",SUMIF(Entries!$B:$B,A29,Entries!$R:$R))</f>
        <v/>
      </c>
    </row>
    <row r="30" customFormat="false" ht="15" hidden="false" customHeight="true" outlineLevel="0" collapsed="false">
      <c r="H30" s="22"/>
      <c r="I30" s="23"/>
      <c r="J30" s="23"/>
      <c r="K30" s="18" t="str">
        <f aca="false">IF(H30="","",H30*I30*J30)</f>
        <v/>
      </c>
      <c r="L30" s="24"/>
      <c r="P30" s="5" t="str">
        <f aca="false">IF(A30="","",COUNTIF(Entries!$B:$B,A30))</f>
        <v/>
      </c>
      <c r="Q30" s="18" t="str">
        <f aca="false">IF(A30="","",SUMIF(Entries!$B:$B,A30,Entries!$J:$J))</f>
        <v/>
      </c>
      <c r="R30" s="20" t="str">
        <f aca="false">IF(OR(A30="",P30=0),"",_xlfn.MINIFS(Entries!$N:$N,Entries!$B:$B,A30))</f>
        <v/>
      </c>
      <c r="S30" s="21" t="str">
        <f aca="false">IF(R30="","",R30-Assumptions!$D$5)</f>
        <v/>
      </c>
      <c r="T30" s="18" t="str">
        <f aca="false">IF(A30="","",SUMIF(Entries!$B:$B,A30,Entries!$P:$P))</f>
        <v/>
      </c>
      <c r="U30" s="18" t="str">
        <f aca="false">IF(A30="","",SUMIF(Entries!$B:$B,A30,Entries!$Q:$Q))</f>
        <v/>
      </c>
      <c r="V30" s="18" t="str">
        <f aca="false">IF(A30="","",SUMIF(Entries!$B:$B,A30,Entries!$R:$R))</f>
        <v/>
      </c>
    </row>
    <row r="31" customFormat="false" ht="15" hidden="false" customHeight="true" outlineLevel="0" collapsed="false">
      <c r="H31" s="22"/>
      <c r="I31" s="23"/>
      <c r="J31" s="23"/>
      <c r="K31" s="18" t="str">
        <f aca="false">IF(H31="","",H31*I31*J31)</f>
        <v/>
      </c>
      <c r="L31" s="24"/>
      <c r="P31" s="5" t="str">
        <f aca="false">IF(A31="","",COUNTIF(Entries!$B:$B,A31))</f>
        <v/>
      </c>
      <c r="Q31" s="18" t="str">
        <f aca="false">IF(A31="","",SUMIF(Entries!$B:$B,A31,Entries!$J:$J))</f>
        <v/>
      </c>
      <c r="R31" s="20" t="str">
        <f aca="false">IF(OR(A31="",P31=0),"",_xlfn.MINIFS(Entries!$N:$N,Entries!$B:$B,A31))</f>
        <v/>
      </c>
      <c r="S31" s="21" t="str">
        <f aca="false">IF(R31="","",R31-Assumptions!$D$5)</f>
        <v/>
      </c>
      <c r="T31" s="18" t="str">
        <f aca="false">IF(A31="","",SUMIF(Entries!$B:$B,A31,Entries!$P:$P))</f>
        <v/>
      </c>
      <c r="U31" s="18" t="str">
        <f aca="false">IF(A31="","",SUMIF(Entries!$B:$B,A31,Entries!$Q:$Q))</f>
        <v/>
      </c>
      <c r="V31" s="18" t="str">
        <f aca="false">IF(A31="","",SUMIF(Entries!$B:$B,A31,Entries!$R:$R))</f>
        <v/>
      </c>
    </row>
    <row r="32" customFormat="false" ht="15" hidden="false" customHeight="true" outlineLevel="0" collapsed="false">
      <c r="H32" s="22"/>
      <c r="I32" s="23"/>
      <c r="J32" s="23"/>
      <c r="K32" s="18" t="str">
        <f aca="false">IF(H32="","",H32*I32*J32)</f>
        <v/>
      </c>
      <c r="L32" s="24"/>
      <c r="P32" s="5" t="str">
        <f aca="false">IF(A32="","",COUNTIF(Entries!$B:$B,A32))</f>
        <v/>
      </c>
      <c r="Q32" s="18" t="str">
        <f aca="false">IF(A32="","",SUMIF(Entries!$B:$B,A32,Entries!$J:$J))</f>
        <v/>
      </c>
      <c r="R32" s="20" t="str">
        <f aca="false">IF(OR(A32="",P32=0),"",_xlfn.MINIFS(Entries!$N:$N,Entries!$B:$B,A32))</f>
        <v/>
      </c>
      <c r="S32" s="21" t="str">
        <f aca="false">IF(R32="","",R32-Assumptions!$D$5)</f>
        <v/>
      </c>
      <c r="T32" s="18" t="str">
        <f aca="false">IF(A32="","",SUMIF(Entries!$B:$B,A32,Entries!$P:$P))</f>
        <v/>
      </c>
      <c r="U32" s="18" t="str">
        <f aca="false">IF(A32="","",SUMIF(Entries!$B:$B,A32,Entries!$Q:$Q))</f>
        <v/>
      </c>
      <c r="V32" s="18" t="str">
        <f aca="false">IF(A32="","",SUMIF(Entries!$B:$B,A32,Entries!$R:$R))</f>
        <v/>
      </c>
    </row>
    <row r="33" customFormat="false" ht="15" hidden="false" customHeight="true" outlineLevel="0" collapsed="false">
      <c r="H33" s="22"/>
      <c r="I33" s="23"/>
      <c r="J33" s="23"/>
      <c r="K33" s="18" t="str">
        <f aca="false">IF(H33="","",H33*I33*J33)</f>
        <v/>
      </c>
      <c r="L33" s="24"/>
      <c r="P33" s="5" t="str">
        <f aca="false">IF(A33="","",COUNTIF(Entries!$B:$B,A33))</f>
        <v/>
      </c>
      <c r="Q33" s="18" t="str">
        <f aca="false">IF(A33="","",SUMIF(Entries!$B:$B,A33,Entries!$J:$J))</f>
        <v/>
      </c>
      <c r="R33" s="20" t="str">
        <f aca="false">IF(OR(A33="",P33=0),"",_xlfn.MINIFS(Entries!$N:$N,Entries!$B:$B,A33))</f>
        <v/>
      </c>
      <c r="S33" s="21" t="str">
        <f aca="false">IF(R33="","",R33-Assumptions!$D$5)</f>
        <v/>
      </c>
      <c r="T33" s="18" t="str">
        <f aca="false">IF(A33="","",SUMIF(Entries!$B:$B,A33,Entries!$P:$P))</f>
        <v/>
      </c>
      <c r="U33" s="18" t="str">
        <f aca="false">IF(A33="","",SUMIF(Entries!$B:$B,A33,Entries!$Q:$Q))</f>
        <v/>
      </c>
      <c r="V33" s="18" t="str">
        <f aca="false">IF(A33="","",SUMIF(Entries!$B:$B,A33,Entries!$R:$R))</f>
        <v/>
      </c>
    </row>
    <row r="34" customFormat="false" ht="15" hidden="false" customHeight="true" outlineLevel="0" collapsed="false">
      <c r="H34" s="22"/>
      <c r="I34" s="23"/>
      <c r="J34" s="23"/>
      <c r="K34" s="18" t="str">
        <f aca="false">IF(H34="","",H34*I34*J34)</f>
        <v/>
      </c>
      <c r="L34" s="24"/>
      <c r="P34" s="5" t="str">
        <f aca="false">IF(A34="","",COUNTIF(Entries!$B:$B,A34))</f>
        <v/>
      </c>
      <c r="Q34" s="18" t="str">
        <f aca="false">IF(A34="","",SUMIF(Entries!$B:$B,A34,Entries!$J:$J))</f>
        <v/>
      </c>
      <c r="R34" s="20" t="str">
        <f aca="false">IF(OR(A34="",P34=0),"",_xlfn.MINIFS(Entries!$N:$N,Entries!$B:$B,A34))</f>
        <v/>
      </c>
      <c r="S34" s="21" t="str">
        <f aca="false">IF(R34="","",R34-Assumptions!$D$5)</f>
        <v/>
      </c>
      <c r="T34" s="18" t="str">
        <f aca="false">IF(A34="","",SUMIF(Entries!$B:$B,A34,Entries!$P:$P))</f>
        <v/>
      </c>
      <c r="U34" s="18" t="str">
        <f aca="false">IF(A34="","",SUMIF(Entries!$B:$B,A34,Entries!$Q:$Q))</f>
        <v/>
      </c>
      <c r="V34" s="18" t="str">
        <f aca="false">IF(A34="","",SUMIF(Entries!$B:$B,A34,Entries!$R:$R))</f>
        <v/>
      </c>
    </row>
    <row r="35" customFormat="false" ht="15" hidden="false" customHeight="true" outlineLevel="0" collapsed="false">
      <c r="H35" s="22"/>
      <c r="I35" s="23"/>
      <c r="J35" s="23"/>
      <c r="K35" s="18" t="str">
        <f aca="false">IF(H35="","",H35*I35*J35)</f>
        <v/>
      </c>
      <c r="L35" s="24"/>
      <c r="P35" s="5" t="str">
        <f aca="false">IF(A35="","",COUNTIF(Entries!$B:$B,A35))</f>
        <v/>
      </c>
      <c r="Q35" s="18" t="str">
        <f aca="false">IF(A35="","",SUMIF(Entries!$B:$B,A35,Entries!$J:$J))</f>
        <v/>
      </c>
      <c r="R35" s="20" t="str">
        <f aca="false">IF(OR(A35="",P35=0),"",_xlfn.MINIFS(Entries!$N:$N,Entries!$B:$B,A35))</f>
        <v/>
      </c>
      <c r="S35" s="21" t="str">
        <f aca="false">IF(R35="","",R35-Assumptions!$D$5)</f>
        <v/>
      </c>
      <c r="T35" s="18" t="str">
        <f aca="false">IF(A35="","",SUMIF(Entries!$B:$B,A35,Entries!$P:$P))</f>
        <v/>
      </c>
      <c r="U35" s="18" t="str">
        <f aca="false">IF(A35="","",SUMIF(Entries!$B:$B,A35,Entries!$Q:$Q))</f>
        <v/>
      </c>
      <c r="V35" s="18" t="str">
        <f aca="false">IF(A35="","",SUMIF(Entries!$B:$B,A35,Entries!$R:$R))</f>
        <v/>
      </c>
    </row>
    <row r="36" customFormat="false" ht="15" hidden="false" customHeight="true" outlineLevel="0" collapsed="false">
      <c r="H36" s="22"/>
      <c r="I36" s="23"/>
      <c r="J36" s="23"/>
      <c r="K36" s="18" t="str">
        <f aca="false">IF(H36="","",H36*I36*J36)</f>
        <v/>
      </c>
      <c r="L36" s="24"/>
      <c r="P36" s="5" t="str">
        <f aca="false">IF(A36="","",COUNTIF(Entries!$B:$B,A36))</f>
        <v/>
      </c>
      <c r="Q36" s="18" t="str">
        <f aca="false">IF(A36="","",SUMIF(Entries!$B:$B,A36,Entries!$J:$J))</f>
        <v/>
      </c>
      <c r="R36" s="20" t="str">
        <f aca="false">IF(OR(A36="",P36=0),"",_xlfn.MINIFS(Entries!$N:$N,Entries!$B:$B,A36))</f>
        <v/>
      </c>
      <c r="S36" s="21" t="str">
        <f aca="false">IF(R36="","",R36-Assumptions!$D$5)</f>
        <v/>
      </c>
      <c r="T36" s="18" t="str">
        <f aca="false">IF(A36="","",SUMIF(Entries!$B:$B,A36,Entries!$P:$P))</f>
        <v/>
      </c>
      <c r="U36" s="18" t="str">
        <f aca="false">IF(A36="","",SUMIF(Entries!$B:$B,A36,Entries!$Q:$Q))</f>
        <v/>
      </c>
      <c r="V36" s="18" t="str">
        <f aca="false">IF(A36="","",SUMIF(Entries!$B:$B,A36,Entries!$R:$R))</f>
        <v/>
      </c>
    </row>
    <row r="37" customFormat="false" ht="15" hidden="false" customHeight="true" outlineLevel="0" collapsed="false">
      <c r="H37" s="22"/>
      <c r="I37" s="23"/>
      <c r="J37" s="23"/>
      <c r="K37" s="18" t="str">
        <f aca="false">IF(H37="","",H37*I37*J37)</f>
        <v/>
      </c>
      <c r="L37" s="24"/>
      <c r="P37" s="5" t="str">
        <f aca="false">IF(A37="","",COUNTIF(Entries!$B:$B,A37))</f>
        <v/>
      </c>
      <c r="Q37" s="18" t="str">
        <f aca="false">IF(A37="","",SUMIF(Entries!$B:$B,A37,Entries!$J:$J))</f>
        <v/>
      </c>
      <c r="R37" s="20" t="str">
        <f aca="false">IF(OR(A37="",P37=0),"",_xlfn.MINIFS(Entries!$N:$N,Entries!$B:$B,A37))</f>
        <v/>
      </c>
      <c r="S37" s="21" t="str">
        <f aca="false">IF(R37="","",R37-Assumptions!$D$5)</f>
        <v/>
      </c>
      <c r="T37" s="18" t="str">
        <f aca="false">IF(A37="","",SUMIF(Entries!$B:$B,A37,Entries!$P:$P))</f>
        <v/>
      </c>
      <c r="U37" s="18" t="str">
        <f aca="false">IF(A37="","",SUMIF(Entries!$B:$B,A37,Entries!$Q:$Q))</f>
        <v/>
      </c>
      <c r="V37" s="18" t="str">
        <f aca="false">IF(A37="","",SUMIF(Entries!$B:$B,A37,Entries!$R:$R))</f>
        <v/>
      </c>
    </row>
    <row r="38" customFormat="false" ht="15" hidden="false" customHeight="true" outlineLevel="0" collapsed="false">
      <c r="H38" s="22"/>
      <c r="I38" s="23"/>
      <c r="J38" s="23"/>
      <c r="K38" s="18" t="str">
        <f aca="false">IF(H38="","",H38*I38*J38)</f>
        <v/>
      </c>
      <c r="L38" s="24"/>
      <c r="P38" s="5" t="str">
        <f aca="false">IF(A38="","",COUNTIF(Entries!$B:$B,A38))</f>
        <v/>
      </c>
      <c r="Q38" s="18" t="str">
        <f aca="false">IF(A38="","",SUMIF(Entries!$B:$B,A38,Entries!$J:$J))</f>
        <v/>
      </c>
      <c r="R38" s="20" t="str">
        <f aca="false">IF(OR(A38="",P38=0),"",_xlfn.MINIFS(Entries!$N:$N,Entries!$B:$B,A38))</f>
        <v/>
      </c>
      <c r="S38" s="21" t="str">
        <f aca="false">IF(R38="","",R38-Assumptions!$D$5)</f>
        <v/>
      </c>
      <c r="T38" s="18" t="str">
        <f aca="false">IF(A38="","",SUMIF(Entries!$B:$B,A38,Entries!$P:$P))</f>
        <v/>
      </c>
      <c r="U38" s="18" t="str">
        <f aca="false">IF(A38="","",SUMIF(Entries!$B:$B,A38,Entries!$Q:$Q))</f>
        <v/>
      </c>
      <c r="V38" s="18" t="str">
        <f aca="false">IF(A38="","",SUMIF(Entries!$B:$B,A38,Entries!$R:$R))</f>
        <v/>
      </c>
    </row>
    <row r="39" customFormat="false" ht="15" hidden="false" customHeight="true" outlineLevel="0" collapsed="false">
      <c r="H39" s="22"/>
      <c r="I39" s="23"/>
      <c r="J39" s="23"/>
      <c r="K39" s="18" t="str">
        <f aca="false">IF(H39="","",H39*I39*J39)</f>
        <v/>
      </c>
      <c r="L39" s="24"/>
      <c r="P39" s="5" t="str">
        <f aca="false">IF(A39="","",COUNTIF(Entries!$B:$B,A39))</f>
        <v/>
      </c>
      <c r="Q39" s="18" t="str">
        <f aca="false">IF(A39="","",SUMIF(Entries!$B:$B,A39,Entries!$J:$J))</f>
        <v/>
      </c>
      <c r="R39" s="20" t="str">
        <f aca="false">IF(OR(A39="",P39=0),"",_xlfn.MINIFS(Entries!$N:$N,Entries!$B:$B,A39))</f>
        <v/>
      </c>
      <c r="S39" s="21" t="str">
        <f aca="false">IF(R39="","",R39-Assumptions!$D$5)</f>
        <v/>
      </c>
      <c r="T39" s="18" t="str">
        <f aca="false">IF(A39="","",SUMIF(Entries!$B:$B,A39,Entries!$P:$P))</f>
        <v/>
      </c>
      <c r="U39" s="18" t="str">
        <f aca="false">IF(A39="","",SUMIF(Entries!$B:$B,A39,Entries!$Q:$Q))</f>
        <v/>
      </c>
      <c r="V39" s="18" t="str">
        <f aca="false">IF(A39="","",SUMIF(Entries!$B:$B,A39,Entries!$R:$R))</f>
        <v/>
      </c>
    </row>
    <row r="40" customFormat="false" ht="15" hidden="false" customHeight="true" outlineLevel="0" collapsed="false">
      <c r="H40" s="22"/>
      <c r="I40" s="23"/>
      <c r="J40" s="23"/>
      <c r="K40" s="18" t="str">
        <f aca="false">IF(H40="","",H40*I40*J40)</f>
        <v/>
      </c>
      <c r="L40" s="24"/>
      <c r="P40" s="5" t="str">
        <f aca="false">IF(A40="","",COUNTIF(Entries!$B:$B,A40))</f>
        <v/>
      </c>
      <c r="Q40" s="18" t="str">
        <f aca="false">IF(A40="","",SUMIF(Entries!$B:$B,A40,Entries!$J:$J))</f>
        <v/>
      </c>
      <c r="R40" s="20" t="str">
        <f aca="false">IF(OR(A40="",P40=0),"",_xlfn.MINIFS(Entries!$N:$N,Entries!$B:$B,A40))</f>
        <v/>
      </c>
      <c r="S40" s="21" t="str">
        <f aca="false">IF(R40="","",R40-Assumptions!$D$5)</f>
        <v/>
      </c>
      <c r="T40" s="18" t="str">
        <f aca="false">IF(A40="","",SUMIF(Entries!$B:$B,A40,Entries!$P:$P))</f>
        <v/>
      </c>
      <c r="U40" s="18" t="str">
        <f aca="false">IF(A40="","",SUMIF(Entries!$B:$B,A40,Entries!$Q:$Q))</f>
        <v/>
      </c>
      <c r="V40" s="18" t="str">
        <f aca="false">IF(A40="","",SUMIF(Entries!$B:$B,A40,Entries!$R:$R))</f>
        <v/>
      </c>
    </row>
    <row r="41" customFormat="false" ht="15" hidden="false" customHeight="true" outlineLevel="0" collapsed="false">
      <c r="H41" s="22"/>
      <c r="I41" s="23"/>
      <c r="J41" s="23"/>
      <c r="K41" s="18" t="str">
        <f aca="false">IF(H41="","",H41*I41*J41)</f>
        <v/>
      </c>
      <c r="L41" s="24"/>
      <c r="P41" s="5" t="str">
        <f aca="false">IF(A41="","",COUNTIF(Entries!$B:$B,A41))</f>
        <v/>
      </c>
      <c r="Q41" s="18" t="str">
        <f aca="false">IF(A41="","",SUMIF(Entries!$B:$B,A41,Entries!$J:$J))</f>
        <v/>
      </c>
      <c r="R41" s="20" t="str">
        <f aca="false">IF(OR(A41="",P41=0),"",_xlfn.MINIFS(Entries!$N:$N,Entries!$B:$B,A41))</f>
        <v/>
      </c>
      <c r="S41" s="21" t="str">
        <f aca="false">IF(R41="","",R41-Assumptions!$D$5)</f>
        <v/>
      </c>
      <c r="T41" s="18" t="str">
        <f aca="false">IF(A41="","",SUMIF(Entries!$B:$B,A41,Entries!$P:$P))</f>
        <v/>
      </c>
      <c r="U41" s="18" t="str">
        <f aca="false">IF(A41="","",SUMIF(Entries!$B:$B,A41,Entries!$Q:$Q))</f>
        <v/>
      </c>
      <c r="V41" s="18" t="str">
        <f aca="false">IF(A41="","",SUMIF(Entries!$B:$B,A41,Entries!$R:$R))</f>
        <v/>
      </c>
    </row>
    <row r="42" customFormat="false" ht="15" hidden="false" customHeight="true" outlineLevel="0" collapsed="false">
      <c r="H42" s="22"/>
      <c r="I42" s="23"/>
      <c r="J42" s="23"/>
      <c r="K42" s="18" t="str">
        <f aca="false">IF(H42="","",H42*I42*J42)</f>
        <v/>
      </c>
      <c r="L42" s="24"/>
      <c r="P42" s="5" t="str">
        <f aca="false">IF(A42="","",COUNTIF(Entries!$B:$B,A42))</f>
        <v/>
      </c>
      <c r="Q42" s="18" t="str">
        <f aca="false">IF(A42="","",SUMIF(Entries!$B:$B,A42,Entries!$J:$J))</f>
        <v/>
      </c>
      <c r="R42" s="20" t="str">
        <f aca="false">IF(OR(A42="",P42=0),"",_xlfn.MINIFS(Entries!$N:$N,Entries!$B:$B,A42))</f>
        <v/>
      </c>
      <c r="S42" s="21" t="str">
        <f aca="false">IF(R42="","",R42-Assumptions!$D$5)</f>
        <v/>
      </c>
      <c r="T42" s="18" t="str">
        <f aca="false">IF(A42="","",SUMIF(Entries!$B:$B,A42,Entries!$P:$P))</f>
        <v/>
      </c>
      <c r="U42" s="18" t="str">
        <f aca="false">IF(A42="","",SUMIF(Entries!$B:$B,A42,Entries!$Q:$Q))</f>
        <v/>
      </c>
      <c r="V42" s="18" t="str">
        <f aca="false">IF(A42="","",SUMIF(Entries!$B:$B,A42,Entries!$R:$R))</f>
        <v/>
      </c>
    </row>
    <row r="43" customFormat="false" ht="15" hidden="false" customHeight="true" outlineLevel="0" collapsed="false">
      <c r="H43" s="22"/>
      <c r="I43" s="23"/>
      <c r="J43" s="23"/>
      <c r="K43" s="18" t="str">
        <f aca="false">IF(H43="","",H43*I43*J43)</f>
        <v/>
      </c>
      <c r="L43" s="24"/>
      <c r="P43" s="5" t="str">
        <f aca="false">IF(A43="","",COUNTIF(Entries!$B:$B,A43))</f>
        <v/>
      </c>
      <c r="Q43" s="18" t="str">
        <f aca="false">IF(A43="","",SUMIF(Entries!$B:$B,A43,Entries!$J:$J))</f>
        <v/>
      </c>
      <c r="R43" s="20" t="str">
        <f aca="false">IF(OR(A43="",P43=0),"",_xlfn.MINIFS(Entries!$N:$N,Entries!$B:$B,A43))</f>
        <v/>
      </c>
      <c r="S43" s="21" t="str">
        <f aca="false">IF(R43="","",R43-Assumptions!$D$5)</f>
        <v/>
      </c>
      <c r="T43" s="18" t="str">
        <f aca="false">IF(A43="","",SUMIF(Entries!$B:$B,A43,Entries!$P:$P))</f>
        <v/>
      </c>
      <c r="U43" s="18" t="str">
        <f aca="false">IF(A43="","",SUMIF(Entries!$B:$B,A43,Entries!$Q:$Q))</f>
        <v/>
      </c>
      <c r="V43" s="18" t="str">
        <f aca="false">IF(A43="","",SUMIF(Entries!$B:$B,A43,Entries!$R:$R))</f>
        <v/>
      </c>
    </row>
    <row r="44" customFormat="false" ht="15" hidden="false" customHeight="true" outlineLevel="0" collapsed="false">
      <c r="H44" s="22"/>
      <c r="I44" s="23"/>
      <c r="J44" s="23"/>
      <c r="K44" s="18" t="str">
        <f aca="false">IF(H44="","",H44*I44*J44)</f>
        <v/>
      </c>
      <c r="L44" s="24"/>
      <c r="P44" s="5" t="str">
        <f aca="false">IF(A44="","",COUNTIF(Entries!$B:$B,A44))</f>
        <v/>
      </c>
      <c r="Q44" s="18" t="str">
        <f aca="false">IF(A44="","",SUMIF(Entries!$B:$B,A44,Entries!$J:$J))</f>
        <v/>
      </c>
      <c r="R44" s="20" t="str">
        <f aca="false">IF(OR(A44="",P44=0),"",_xlfn.MINIFS(Entries!$N:$N,Entries!$B:$B,A44))</f>
        <v/>
      </c>
      <c r="S44" s="21" t="str">
        <f aca="false">IF(R44="","",R44-Assumptions!$D$5)</f>
        <v/>
      </c>
      <c r="T44" s="18" t="str">
        <f aca="false">IF(A44="","",SUMIF(Entries!$B:$B,A44,Entries!$P:$P))</f>
        <v/>
      </c>
      <c r="U44" s="18" t="str">
        <f aca="false">IF(A44="","",SUMIF(Entries!$B:$B,A44,Entries!$Q:$Q))</f>
        <v/>
      </c>
      <c r="V44" s="18" t="str">
        <f aca="false">IF(A44="","",SUMIF(Entries!$B:$B,A44,Entries!$R:$R))</f>
        <v/>
      </c>
    </row>
    <row r="45" customFormat="false" ht="15" hidden="false" customHeight="true" outlineLevel="0" collapsed="false">
      <c r="H45" s="22"/>
      <c r="I45" s="23"/>
      <c r="J45" s="23"/>
      <c r="K45" s="18" t="str">
        <f aca="false">IF(H45="","",H45*I45*J45)</f>
        <v/>
      </c>
      <c r="L45" s="24"/>
      <c r="P45" s="5" t="str">
        <f aca="false">IF(A45="","",COUNTIF(Entries!$B:$B,A45))</f>
        <v/>
      </c>
      <c r="Q45" s="18" t="str">
        <f aca="false">IF(A45="","",SUMIF(Entries!$B:$B,A45,Entries!$J:$J))</f>
        <v/>
      </c>
      <c r="R45" s="20" t="str">
        <f aca="false">IF(OR(A45="",P45=0),"",_xlfn.MINIFS(Entries!$N:$N,Entries!$B:$B,A45))</f>
        <v/>
      </c>
      <c r="S45" s="21" t="str">
        <f aca="false">IF(R45="","",R45-Assumptions!$D$5)</f>
        <v/>
      </c>
      <c r="T45" s="18" t="str">
        <f aca="false">IF(A45="","",SUMIF(Entries!$B:$B,A45,Entries!$P:$P))</f>
        <v/>
      </c>
      <c r="U45" s="18" t="str">
        <f aca="false">IF(A45="","",SUMIF(Entries!$B:$B,A45,Entries!$Q:$Q))</f>
        <v/>
      </c>
      <c r="V45" s="18" t="str">
        <f aca="false">IF(A45="","",SUMIF(Entries!$B:$B,A45,Entries!$R:$R))</f>
        <v/>
      </c>
    </row>
    <row r="46" customFormat="false" ht="15" hidden="false" customHeight="true" outlineLevel="0" collapsed="false">
      <c r="H46" s="22"/>
      <c r="I46" s="23"/>
      <c r="J46" s="23"/>
      <c r="K46" s="18" t="str">
        <f aca="false">IF(H46="","",H46*I46*J46)</f>
        <v/>
      </c>
      <c r="L46" s="24"/>
      <c r="P46" s="5" t="str">
        <f aca="false">IF(A46="","",COUNTIF(Entries!$B:$B,A46))</f>
        <v/>
      </c>
      <c r="Q46" s="18" t="str">
        <f aca="false">IF(A46="","",SUMIF(Entries!$B:$B,A46,Entries!$J:$J))</f>
        <v/>
      </c>
      <c r="R46" s="20" t="str">
        <f aca="false">IF(OR(A46="",P46=0),"",_xlfn.MINIFS(Entries!$N:$N,Entries!$B:$B,A46))</f>
        <v/>
      </c>
      <c r="S46" s="21" t="str">
        <f aca="false">IF(R46="","",R46-Assumptions!$D$5)</f>
        <v/>
      </c>
      <c r="T46" s="18" t="str">
        <f aca="false">IF(A46="","",SUMIF(Entries!$B:$B,A46,Entries!$P:$P))</f>
        <v/>
      </c>
      <c r="U46" s="18" t="str">
        <f aca="false">IF(A46="","",SUMIF(Entries!$B:$B,A46,Entries!$Q:$Q))</f>
        <v/>
      </c>
      <c r="V46" s="18" t="str">
        <f aca="false">IF(A46="","",SUMIF(Entries!$B:$B,A46,Entries!$R:$R))</f>
        <v/>
      </c>
    </row>
    <row r="47" customFormat="false" ht="15" hidden="false" customHeight="true" outlineLevel="0" collapsed="false">
      <c r="H47" s="22"/>
      <c r="I47" s="23"/>
      <c r="J47" s="23"/>
      <c r="K47" s="18" t="str">
        <f aca="false">IF(H47="","",H47*I47*J47)</f>
        <v/>
      </c>
      <c r="L47" s="24"/>
      <c r="P47" s="5" t="str">
        <f aca="false">IF(A47="","",COUNTIF(Entries!$B:$B,A47))</f>
        <v/>
      </c>
      <c r="Q47" s="18" t="str">
        <f aca="false">IF(A47="","",SUMIF(Entries!$B:$B,A47,Entries!$J:$J))</f>
        <v/>
      </c>
      <c r="R47" s="20" t="str">
        <f aca="false">IF(OR(A47="",P47=0),"",_xlfn.MINIFS(Entries!$N:$N,Entries!$B:$B,A47))</f>
        <v/>
      </c>
      <c r="S47" s="21" t="str">
        <f aca="false">IF(R47="","",R47-Assumptions!$D$5)</f>
        <v/>
      </c>
      <c r="T47" s="18" t="str">
        <f aca="false">IF(A47="","",SUMIF(Entries!$B:$B,A47,Entries!$P:$P))</f>
        <v/>
      </c>
      <c r="U47" s="18" t="str">
        <f aca="false">IF(A47="","",SUMIF(Entries!$B:$B,A47,Entries!$Q:$Q))</f>
        <v/>
      </c>
      <c r="V47" s="18" t="str">
        <f aca="false">IF(A47="","",SUMIF(Entries!$B:$B,A47,Entries!$R:$R))</f>
        <v/>
      </c>
    </row>
    <row r="48" customFormat="false" ht="15" hidden="false" customHeight="true" outlineLevel="0" collapsed="false">
      <c r="H48" s="22"/>
      <c r="I48" s="23"/>
      <c r="J48" s="23"/>
      <c r="K48" s="18" t="str">
        <f aca="false">IF(H48="","",H48*I48*J48)</f>
        <v/>
      </c>
      <c r="L48" s="24"/>
      <c r="P48" s="5" t="str">
        <f aca="false">IF(A48="","",COUNTIF(Entries!$B:$B,A48))</f>
        <v/>
      </c>
      <c r="Q48" s="18" t="str">
        <f aca="false">IF(A48="","",SUMIF(Entries!$B:$B,A48,Entries!$J:$J))</f>
        <v/>
      </c>
      <c r="R48" s="20" t="str">
        <f aca="false">IF(OR(A48="",P48=0),"",_xlfn.MINIFS(Entries!$N:$N,Entries!$B:$B,A48))</f>
        <v/>
      </c>
      <c r="S48" s="21" t="str">
        <f aca="false">IF(R48="","",R48-Assumptions!$D$5)</f>
        <v/>
      </c>
      <c r="T48" s="18" t="str">
        <f aca="false">IF(A48="","",SUMIF(Entries!$B:$B,A48,Entries!$P:$P))</f>
        <v/>
      </c>
      <c r="U48" s="18" t="str">
        <f aca="false">IF(A48="","",SUMIF(Entries!$B:$B,A48,Entries!$Q:$Q))</f>
        <v/>
      </c>
      <c r="V48" s="18" t="str">
        <f aca="false">IF(A48="","",SUMIF(Entries!$B:$B,A48,Entries!$R:$R))</f>
        <v/>
      </c>
    </row>
    <row r="49" customFormat="false" ht="15" hidden="false" customHeight="true" outlineLevel="0" collapsed="false">
      <c r="H49" s="22"/>
      <c r="I49" s="23"/>
      <c r="J49" s="23"/>
      <c r="K49" s="18" t="str">
        <f aca="false">IF(H49="","",H49*I49*J49)</f>
        <v/>
      </c>
      <c r="L49" s="24"/>
      <c r="P49" s="5" t="str">
        <f aca="false">IF(A49="","",COUNTIF(Entries!$B:$B,A49))</f>
        <v/>
      </c>
      <c r="Q49" s="18" t="str">
        <f aca="false">IF(A49="","",SUMIF(Entries!$B:$B,A49,Entries!$J:$J))</f>
        <v/>
      </c>
      <c r="R49" s="20" t="str">
        <f aca="false">IF(OR(A49="",P49=0),"",_xlfn.MINIFS(Entries!$N:$N,Entries!$B:$B,A49))</f>
        <v/>
      </c>
      <c r="S49" s="21" t="str">
        <f aca="false">IF(R49="","",R49-Assumptions!$D$5)</f>
        <v/>
      </c>
      <c r="T49" s="18" t="str">
        <f aca="false">IF(A49="","",SUMIF(Entries!$B:$B,A49,Entries!$P:$P))</f>
        <v/>
      </c>
      <c r="U49" s="18" t="str">
        <f aca="false">IF(A49="","",SUMIF(Entries!$B:$B,A49,Entries!$Q:$Q))</f>
        <v/>
      </c>
      <c r="V49" s="18" t="str">
        <f aca="false">IF(A49="","",SUMIF(Entries!$B:$B,A49,Entries!$R:$R))</f>
        <v/>
      </c>
    </row>
    <row r="50" customFormat="false" ht="15" hidden="false" customHeight="true" outlineLevel="0" collapsed="false">
      <c r="H50" s="22"/>
      <c r="I50" s="23"/>
      <c r="J50" s="23"/>
      <c r="K50" s="18" t="str">
        <f aca="false">IF(H50="","",H50*I50*J50)</f>
        <v/>
      </c>
      <c r="L50" s="24"/>
      <c r="P50" s="5" t="str">
        <f aca="false">IF(A50="","",COUNTIF(Entries!$B:$B,A50))</f>
        <v/>
      </c>
      <c r="Q50" s="18" t="str">
        <f aca="false">IF(A50="","",SUMIF(Entries!$B:$B,A50,Entries!$J:$J))</f>
        <v/>
      </c>
      <c r="R50" s="20" t="str">
        <f aca="false">IF(OR(A50="",P50=0),"",_xlfn.MINIFS(Entries!$N:$N,Entries!$B:$B,A50))</f>
        <v/>
      </c>
      <c r="S50" s="21" t="str">
        <f aca="false">IF(R50="","",R50-Assumptions!$D$5)</f>
        <v/>
      </c>
      <c r="T50" s="18" t="str">
        <f aca="false">IF(A50="","",SUMIF(Entries!$B:$B,A50,Entries!$P:$P))</f>
        <v/>
      </c>
      <c r="U50" s="18" t="str">
        <f aca="false">IF(A50="","",SUMIF(Entries!$B:$B,A50,Entries!$Q:$Q))</f>
        <v/>
      </c>
      <c r="V50" s="18" t="str">
        <f aca="false">IF(A50="","",SUMIF(Entries!$B:$B,A50,Entries!$R:$R))</f>
        <v/>
      </c>
    </row>
    <row r="51" customFormat="false" ht="15" hidden="false" customHeight="true" outlineLevel="0" collapsed="false">
      <c r="H51" s="22"/>
      <c r="I51" s="23"/>
      <c r="J51" s="23"/>
      <c r="K51" s="18" t="str">
        <f aca="false">IF(H51="","",H51*I51*J51)</f>
        <v/>
      </c>
      <c r="L51" s="24"/>
      <c r="P51" s="5" t="str">
        <f aca="false">IF(A51="","",COUNTIF(Entries!$B:$B,A51))</f>
        <v/>
      </c>
      <c r="Q51" s="18" t="str">
        <f aca="false">IF(A51="","",SUMIF(Entries!$B:$B,A51,Entries!$J:$J))</f>
        <v/>
      </c>
      <c r="R51" s="20" t="str">
        <f aca="false">IF(OR(A51="",P51=0),"",_xlfn.MINIFS(Entries!$N:$N,Entries!$B:$B,A51))</f>
        <v/>
      </c>
      <c r="S51" s="21" t="str">
        <f aca="false">IF(R51="","",R51-Assumptions!$D$5)</f>
        <v/>
      </c>
      <c r="T51" s="18" t="str">
        <f aca="false">IF(A51="","",SUMIF(Entries!$B:$B,A51,Entries!$P:$P))</f>
        <v/>
      </c>
      <c r="U51" s="18" t="str">
        <f aca="false">IF(A51="","",SUMIF(Entries!$B:$B,A51,Entries!$Q:$Q))</f>
        <v/>
      </c>
      <c r="V51" s="18" t="str">
        <f aca="false">IF(A51="","",SUMIF(Entries!$B:$B,A51,Entries!$R:$R))</f>
        <v/>
      </c>
    </row>
    <row r="52" customFormat="false" ht="15" hidden="false" customHeight="true" outlineLevel="0" collapsed="false">
      <c r="H52" s="22"/>
      <c r="I52" s="23"/>
      <c r="J52" s="23"/>
      <c r="K52" s="18" t="str">
        <f aca="false">IF(H52="","",H52*I52*J52)</f>
        <v/>
      </c>
      <c r="L52" s="24"/>
      <c r="P52" s="5" t="str">
        <f aca="false">IF(A52="","",COUNTIF(Entries!$B:$B,A52))</f>
        <v/>
      </c>
      <c r="Q52" s="18" t="str">
        <f aca="false">IF(A52="","",SUMIF(Entries!$B:$B,A52,Entries!$J:$J))</f>
        <v/>
      </c>
      <c r="R52" s="20" t="str">
        <f aca="false">IF(OR(A52="",P52=0),"",_xlfn.MINIFS(Entries!$N:$N,Entries!$B:$B,A52))</f>
        <v/>
      </c>
      <c r="S52" s="21" t="str">
        <f aca="false">IF(R52="","",R52-Assumptions!$D$5)</f>
        <v/>
      </c>
      <c r="T52" s="18" t="str">
        <f aca="false">IF(A52="","",SUMIF(Entries!$B:$B,A52,Entries!$P:$P))</f>
        <v/>
      </c>
      <c r="U52" s="18" t="str">
        <f aca="false">IF(A52="","",SUMIF(Entries!$B:$B,A52,Entries!$Q:$Q))</f>
        <v/>
      </c>
      <c r="V52" s="18" t="str">
        <f aca="false">IF(A52="","",SUMIF(Entries!$B:$B,A52,Entries!$R:$R))</f>
        <v/>
      </c>
    </row>
    <row r="53" customFormat="false" ht="15" hidden="false" customHeight="true" outlineLevel="0" collapsed="false">
      <c r="H53" s="22"/>
      <c r="I53" s="23"/>
      <c r="J53" s="23"/>
      <c r="K53" s="18" t="str">
        <f aca="false">IF(H53="","",H53*I53*J53)</f>
        <v/>
      </c>
      <c r="L53" s="24"/>
      <c r="P53" s="5" t="str">
        <f aca="false">IF(A53="","",COUNTIF(Entries!$B:$B,A53))</f>
        <v/>
      </c>
      <c r="Q53" s="18" t="str">
        <f aca="false">IF(A53="","",SUMIF(Entries!$B:$B,A53,Entries!$J:$J))</f>
        <v/>
      </c>
      <c r="R53" s="20" t="str">
        <f aca="false">IF(OR(A53="",P53=0),"",_xlfn.MINIFS(Entries!$N:$N,Entries!$B:$B,A53))</f>
        <v/>
      </c>
      <c r="S53" s="21" t="str">
        <f aca="false">IF(R53="","",R53-Assumptions!$D$5)</f>
        <v/>
      </c>
      <c r="T53" s="18" t="str">
        <f aca="false">IF(A53="","",SUMIF(Entries!$B:$B,A53,Entries!$P:$P))</f>
        <v/>
      </c>
      <c r="U53" s="18" t="str">
        <f aca="false">IF(A53="","",SUMIF(Entries!$B:$B,A53,Entries!$Q:$Q))</f>
        <v/>
      </c>
      <c r="V53" s="18" t="str">
        <f aca="false">IF(A53="","",SUMIF(Entries!$B:$B,A53,Entries!$R:$R))</f>
        <v/>
      </c>
    </row>
    <row r="54" customFormat="false" ht="15" hidden="false" customHeight="true" outlineLevel="0" collapsed="false">
      <c r="H54" s="22"/>
      <c r="I54" s="23"/>
      <c r="J54" s="23"/>
      <c r="K54" s="18" t="str">
        <f aca="false">IF(H54="","",H54*I54*J54)</f>
        <v/>
      </c>
      <c r="L54" s="24"/>
      <c r="P54" s="5" t="str">
        <f aca="false">IF(A54="","",COUNTIF(Entries!$B:$B,A54))</f>
        <v/>
      </c>
      <c r="Q54" s="18" t="str">
        <f aca="false">IF(A54="","",SUMIF(Entries!$B:$B,A54,Entries!$J:$J))</f>
        <v/>
      </c>
      <c r="R54" s="20" t="str">
        <f aca="false">IF(OR(A54="",P54=0),"",_xlfn.MINIFS(Entries!$N:$N,Entries!$B:$B,A54))</f>
        <v/>
      </c>
      <c r="S54" s="21" t="str">
        <f aca="false">IF(R54="","",R54-Assumptions!$D$5)</f>
        <v/>
      </c>
      <c r="T54" s="18" t="str">
        <f aca="false">IF(A54="","",SUMIF(Entries!$B:$B,A54,Entries!$P:$P))</f>
        <v/>
      </c>
      <c r="U54" s="18" t="str">
        <f aca="false">IF(A54="","",SUMIF(Entries!$B:$B,A54,Entries!$Q:$Q))</f>
        <v/>
      </c>
      <c r="V54" s="18" t="str">
        <f aca="false">IF(A54="","",SUMIF(Entries!$B:$B,A54,Entries!$R:$R))</f>
        <v/>
      </c>
    </row>
    <row r="55" customFormat="false" ht="15" hidden="false" customHeight="true" outlineLevel="0" collapsed="false">
      <c r="H55" s="22"/>
      <c r="I55" s="23"/>
      <c r="J55" s="23"/>
      <c r="K55" s="18" t="str">
        <f aca="false">IF(H55="","",H55*I55*J55)</f>
        <v/>
      </c>
      <c r="L55" s="24"/>
      <c r="P55" s="5" t="str">
        <f aca="false">IF(A55="","",COUNTIF(Entries!$B:$B,A55))</f>
        <v/>
      </c>
      <c r="Q55" s="18" t="str">
        <f aca="false">IF(A55="","",SUMIF(Entries!$B:$B,A55,Entries!$J:$J))</f>
        <v/>
      </c>
      <c r="R55" s="20" t="str">
        <f aca="false">IF(OR(A55="",P55=0),"",_xlfn.MINIFS(Entries!$N:$N,Entries!$B:$B,A55))</f>
        <v/>
      </c>
      <c r="S55" s="21" t="str">
        <f aca="false">IF(R55="","",R55-Assumptions!$D$5)</f>
        <v/>
      </c>
      <c r="T55" s="18" t="str">
        <f aca="false">IF(A55="","",SUMIF(Entries!$B:$B,A55,Entries!$P:$P))</f>
        <v/>
      </c>
      <c r="U55" s="18" t="str">
        <f aca="false">IF(A55="","",SUMIF(Entries!$B:$B,A55,Entries!$Q:$Q))</f>
        <v/>
      </c>
      <c r="V55" s="18" t="str">
        <f aca="false">IF(A55="","",SUMIF(Entries!$B:$B,A55,Entries!$R:$R))</f>
        <v/>
      </c>
    </row>
    <row r="56" customFormat="false" ht="15" hidden="false" customHeight="true" outlineLevel="0" collapsed="false">
      <c r="H56" s="22"/>
      <c r="I56" s="23"/>
      <c r="J56" s="23"/>
      <c r="K56" s="18" t="str">
        <f aca="false">IF(H56="","",H56*I56*J56)</f>
        <v/>
      </c>
      <c r="L56" s="24"/>
      <c r="P56" s="5" t="str">
        <f aca="false">IF(A56="","",COUNTIF(Entries!$B:$B,A56))</f>
        <v/>
      </c>
      <c r="Q56" s="18" t="str">
        <f aca="false">IF(A56="","",SUMIF(Entries!$B:$B,A56,Entries!$J:$J))</f>
        <v/>
      </c>
      <c r="R56" s="20" t="str">
        <f aca="false">IF(OR(A56="",P56=0),"",_xlfn.MINIFS(Entries!$N:$N,Entries!$B:$B,A56))</f>
        <v/>
      </c>
      <c r="S56" s="21" t="str">
        <f aca="false">IF(R56="","",R56-Assumptions!$D$5)</f>
        <v/>
      </c>
      <c r="T56" s="18" t="str">
        <f aca="false">IF(A56="","",SUMIF(Entries!$B:$B,A56,Entries!$P:$P))</f>
        <v/>
      </c>
      <c r="U56" s="18" t="str">
        <f aca="false">IF(A56="","",SUMIF(Entries!$B:$B,A56,Entries!$Q:$Q))</f>
        <v/>
      </c>
      <c r="V56" s="18" t="str">
        <f aca="false">IF(A56="","",SUMIF(Entries!$B:$B,A56,Entries!$R:$R))</f>
        <v/>
      </c>
    </row>
    <row r="57" customFormat="false" ht="15" hidden="false" customHeight="true" outlineLevel="0" collapsed="false">
      <c r="H57" s="22"/>
      <c r="I57" s="23"/>
      <c r="J57" s="23"/>
      <c r="K57" s="18" t="str">
        <f aca="false">IF(H57="","",H57*I57*J57)</f>
        <v/>
      </c>
      <c r="L57" s="24"/>
      <c r="P57" s="5" t="str">
        <f aca="false">IF(A57="","",COUNTIF(Entries!$B:$B,A57))</f>
        <v/>
      </c>
      <c r="Q57" s="18" t="str">
        <f aca="false">IF(A57="","",SUMIF(Entries!$B:$B,A57,Entries!$J:$J))</f>
        <v/>
      </c>
      <c r="R57" s="20" t="str">
        <f aca="false">IF(OR(A57="",P57=0),"",_xlfn.MINIFS(Entries!$N:$N,Entries!$B:$B,A57))</f>
        <v/>
      </c>
      <c r="S57" s="21" t="str">
        <f aca="false">IF(R57="","",R57-Assumptions!$D$5)</f>
        <v/>
      </c>
      <c r="T57" s="18" t="str">
        <f aca="false">IF(A57="","",SUMIF(Entries!$B:$B,A57,Entries!$P:$P))</f>
        <v/>
      </c>
      <c r="U57" s="18" t="str">
        <f aca="false">IF(A57="","",SUMIF(Entries!$B:$B,A57,Entries!$Q:$Q))</f>
        <v/>
      </c>
      <c r="V57" s="18" t="str">
        <f aca="false">IF(A57="","",SUMIF(Entries!$B:$B,A57,Entries!$R:$R))</f>
        <v/>
      </c>
    </row>
    <row r="58" customFormat="false" ht="15" hidden="false" customHeight="true" outlineLevel="0" collapsed="false">
      <c r="H58" s="22"/>
      <c r="I58" s="23"/>
      <c r="J58" s="23"/>
      <c r="K58" s="18" t="str">
        <f aca="false">IF(H58="","",H58*I58*J58)</f>
        <v/>
      </c>
      <c r="L58" s="24"/>
      <c r="P58" s="5" t="str">
        <f aca="false">IF(A58="","",COUNTIF(Entries!$B:$B,A58))</f>
        <v/>
      </c>
      <c r="Q58" s="18" t="str">
        <f aca="false">IF(A58="","",SUMIF(Entries!$B:$B,A58,Entries!$J:$J))</f>
        <v/>
      </c>
      <c r="R58" s="20" t="str">
        <f aca="false">IF(OR(A58="",P58=0),"",_xlfn.MINIFS(Entries!$N:$N,Entries!$B:$B,A58))</f>
        <v/>
      </c>
      <c r="S58" s="21" t="str">
        <f aca="false">IF(R58="","",R58-Assumptions!$D$5)</f>
        <v/>
      </c>
      <c r="T58" s="18" t="str">
        <f aca="false">IF(A58="","",SUMIF(Entries!$B:$B,A58,Entries!$P:$P))</f>
        <v/>
      </c>
      <c r="U58" s="18" t="str">
        <f aca="false">IF(A58="","",SUMIF(Entries!$B:$B,A58,Entries!$Q:$Q))</f>
        <v/>
      </c>
      <c r="V58" s="18" t="str">
        <f aca="false">IF(A58="","",SUMIF(Entries!$B:$B,A58,Entries!$R:$R))</f>
        <v/>
      </c>
    </row>
    <row r="59" customFormat="false" ht="15" hidden="false" customHeight="true" outlineLevel="0" collapsed="false">
      <c r="H59" s="22"/>
      <c r="I59" s="23"/>
      <c r="J59" s="23"/>
      <c r="K59" s="18" t="str">
        <f aca="false">IF(H59="","",H59*I59*J59)</f>
        <v/>
      </c>
      <c r="L59" s="24"/>
      <c r="P59" s="5" t="str">
        <f aca="false">IF(A59="","",COUNTIF(Entries!$B:$B,A59))</f>
        <v/>
      </c>
      <c r="Q59" s="18" t="str">
        <f aca="false">IF(A59="","",SUMIF(Entries!$B:$B,A59,Entries!$J:$J))</f>
        <v/>
      </c>
      <c r="R59" s="20" t="str">
        <f aca="false">IF(OR(A59="",P59=0),"",_xlfn.MINIFS(Entries!$N:$N,Entries!$B:$B,A59))</f>
        <v/>
      </c>
      <c r="S59" s="21" t="str">
        <f aca="false">IF(R59="","",R59-Assumptions!$D$5)</f>
        <v/>
      </c>
      <c r="T59" s="18" t="str">
        <f aca="false">IF(A59="","",SUMIF(Entries!$B:$B,A59,Entries!$P:$P))</f>
        <v/>
      </c>
      <c r="U59" s="18" t="str">
        <f aca="false">IF(A59="","",SUMIF(Entries!$B:$B,A59,Entries!$Q:$Q))</f>
        <v/>
      </c>
      <c r="V59" s="18" t="str">
        <f aca="false">IF(A59="","",SUMIF(Entries!$B:$B,A59,Entries!$R:$R))</f>
        <v/>
      </c>
    </row>
    <row r="60" customFormat="false" ht="15" hidden="false" customHeight="true" outlineLevel="0" collapsed="false">
      <c r="H60" s="22"/>
      <c r="I60" s="23"/>
      <c r="J60" s="23"/>
      <c r="K60" s="18" t="str">
        <f aca="false">IF(H60="","",H60*I60*J60)</f>
        <v/>
      </c>
      <c r="L60" s="24"/>
      <c r="P60" s="5" t="str">
        <f aca="false">IF(A60="","",COUNTIF(Entries!$B:$B,A60))</f>
        <v/>
      </c>
      <c r="Q60" s="18" t="str">
        <f aca="false">IF(A60="","",SUMIF(Entries!$B:$B,A60,Entries!$J:$J))</f>
        <v/>
      </c>
      <c r="R60" s="20" t="str">
        <f aca="false">IF(OR(A60="",P60=0),"",_xlfn.MINIFS(Entries!$N:$N,Entries!$B:$B,A60))</f>
        <v/>
      </c>
      <c r="S60" s="21" t="str">
        <f aca="false">IF(R60="","",R60-Assumptions!$D$5)</f>
        <v/>
      </c>
      <c r="T60" s="18" t="str">
        <f aca="false">IF(A60="","",SUMIF(Entries!$B:$B,A60,Entries!$P:$P))</f>
        <v/>
      </c>
      <c r="U60" s="18" t="str">
        <f aca="false">IF(A60="","",SUMIF(Entries!$B:$B,A60,Entries!$Q:$Q))</f>
        <v/>
      </c>
      <c r="V60" s="18" t="str">
        <f aca="false">IF(A60="","",SUMIF(Entries!$B:$B,A60,Entries!$R:$R))</f>
        <v/>
      </c>
    </row>
    <row r="61" customFormat="false" ht="15" hidden="false" customHeight="true" outlineLevel="0" collapsed="false">
      <c r="H61" s="22"/>
      <c r="I61" s="23"/>
      <c r="J61" s="23"/>
      <c r="K61" s="18" t="str">
        <f aca="false">IF(H61="","",H61*I61*J61)</f>
        <v/>
      </c>
      <c r="L61" s="24"/>
      <c r="P61" s="5" t="str">
        <f aca="false">IF(A61="","",COUNTIF(Entries!$B:$B,A61))</f>
        <v/>
      </c>
      <c r="Q61" s="18" t="str">
        <f aca="false">IF(A61="","",SUMIF(Entries!$B:$B,A61,Entries!$J:$J))</f>
        <v/>
      </c>
      <c r="R61" s="20" t="str">
        <f aca="false">IF(OR(A61="",P61=0),"",_xlfn.MINIFS(Entries!$N:$N,Entries!$B:$B,A61))</f>
        <v/>
      </c>
      <c r="S61" s="21" t="str">
        <f aca="false">IF(R61="","",R61-Assumptions!$D$5)</f>
        <v/>
      </c>
      <c r="T61" s="18" t="str">
        <f aca="false">IF(A61="","",SUMIF(Entries!$B:$B,A61,Entries!$P:$P))</f>
        <v/>
      </c>
      <c r="U61" s="18" t="str">
        <f aca="false">IF(A61="","",SUMIF(Entries!$B:$B,A61,Entries!$Q:$Q))</f>
        <v/>
      </c>
      <c r="V61" s="18" t="str">
        <f aca="false">IF(A61="","",SUMIF(Entries!$B:$B,A61,Entries!$R:$R))</f>
        <v/>
      </c>
    </row>
    <row r="62" customFormat="false" ht="15" hidden="false" customHeight="true" outlineLevel="0" collapsed="false">
      <c r="H62" s="22"/>
      <c r="I62" s="23"/>
      <c r="J62" s="23"/>
      <c r="K62" s="18" t="str">
        <f aca="false">IF(H62="","",H62*I62*J62)</f>
        <v/>
      </c>
      <c r="L62" s="24"/>
      <c r="P62" s="5" t="str">
        <f aca="false">IF(A62="","",COUNTIF(Entries!$B:$B,A62))</f>
        <v/>
      </c>
      <c r="Q62" s="18" t="str">
        <f aca="false">IF(A62="","",SUMIF(Entries!$B:$B,A62,Entries!$J:$J))</f>
        <v/>
      </c>
      <c r="R62" s="20" t="str">
        <f aca="false">IF(OR(A62="",P62=0),"",_xlfn.MINIFS(Entries!$N:$N,Entries!$B:$B,A62))</f>
        <v/>
      </c>
      <c r="S62" s="21" t="str">
        <f aca="false">IF(R62="","",R62-Assumptions!$D$5)</f>
        <v/>
      </c>
      <c r="T62" s="18" t="str">
        <f aca="false">IF(A62="","",SUMIF(Entries!$B:$B,A62,Entries!$P:$P))</f>
        <v/>
      </c>
      <c r="U62" s="18" t="str">
        <f aca="false">IF(A62="","",SUMIF(Entries!$B:$B,A62,Entries!$Q:$Q))</f>
        <v/>
      </c>
      <c r="V62" s="18" t="str">
        <f aca="false">IF(A62="","",SUMIF(Entries!$B:$B,A62,Entries!$R:$R))</f>
        <v/>
      </c>
    </row>
    <row r="63" customFormat="false" ht="15" hidden="false" customHeight="true" outlineLevel="0" collapsed="false">
      <c r="H63" s="22"/>
      <c r="I63" s="23"/>
      <c r="J63" s="23"/>
      <c r="K63" s="18" t="str">
        <f aca="false">IF(H63="","",H63*I63*J63)</f>
        <v/>
      </c>
      <c r="L63" s="24"/>
      <c r="P63" s="5" t="str">
        <f aca="false">IF(A63="","",COUNTIF(Entries!$B:$B,A63))</f>
        <v/>
      </c>
      <c r="Q63" s="18" t="str">
        <f aca="false">IF(A63="","",SUMIF(Entries!$B:$B,A63,Entries!$J:$J))</f>
        <v/>
      </c>
      <c r="R63" s="20" t="str">
        <f aca="false">IF(OR(A63="",P63=0),"",_xlfn.MINIFS(Entries!$N:$N,Entries!$B:$B,A63))</f>
        <v/>
      </c>
      <c r="S63" s="21" t="str">
        <f aca="false">IF(R63="","",R63-Assumptions!$D$5)</f>
        <v/>
      </c>
      <c r="T63" s="18" t="str">
        <f aca="false">IF(A63="","",SUMIF(Entries!$B:$B,A63,Entries!$P:$P))</f>
        <v/>
      </c>
      <c r="U63" s="18" t="str">
        <f aca="false">IF(A63="","",SUMIF(Entries!$B:$B,A63,Entries!$Q:$Q))</f>
        <v/>
      </c>
      <c r="V63" s="18" t="str">
        <f aca="false">IF(A63="","",SUMIF(Entries!$B:$B,A63,Entries!$R:$R))</f>
        <v/>
      </c>
    </row>
    <row r="64" customFormat="false" ht="15" hidden="false" customHeight="true" outlineLevel="0" collapsed="false">
      <c r="H64" s="22"/>
      <c r="I64" s="23"/>
      <c r="J64" s="23"/>
      <c r="K64" s="18" t="str">
        <f aca="false">IF(H64="","",H64*I64*J64)</f>
        <v/>
      </c>
      <c r="L64" s="24"/>
      <c r="P64" s="5" t="str">
        <f aca="false">IF(A64="","",COUNTIF(Entries!$B:$B,A64))</f>
        <v/>
      </c>
      <c r="Q64" s="18" t="str">
        <f aca="false">IF(A64="","",SUMIF(Entries!$B:$B,A64,Entries!$J:$J))</f>
        <v/>
      </c>
      <c r="R64" s="20" t="str">
        <f aca="false">IF(OR(A64="",P64=0),"",_xlfn.MINIFS(Entries!$N:$N,Entries!$B:$B,A64))</f>
        <v/>
      </c>
      <c r="S64" s="21" t="str">
        <f aca="false">IF(R64="","",R64-Assumptions!$D$5)</f>
        <v/>
      </c>
      <c r="T64" s="18" t="str">
        <f aca="false">IF(A64="","",SUMIF(Entries!$B:$B,A64,Entries!$P:$P))</f>
        <v/>
      </c>
      <c r="U64" s="18" t="str">
        <f aca="false">IF(A64="","",SUMIF(Entries!$B:$B,A64,Entries!$Q:$Q))</f>
        <v/>
      </c>
      <c r="V64" s="18" t="str">
        <f aca="false">IF(A64="","",SUMIF(Entries!$B:$B,A64,Entries!$R:$R))</f>
        <v/>
      </c>
    </row>
    <row r="65" customFormat="false" ht="15" hidden="false" customHeight="true" outlineLevel="0" collapsed="false">
      <c r="H65" s="22"/>
      <c r="I65" s="23"/>
      <c r="J65" s="23"/>
      <c r="K65" s="18" t="str">
        <f aca="false">IF(H65="","",H65*I65*J65)</f>
        <v/>
      </c>
      <c r="L65" s="24"/>
      <c r="P65" s="5" t="str">
        <f aca="false">IF(A65="","",COUNTIF(Entries!$B:$B,A65))</f>
        <v/>
      </c>
      <c r="Q65" s="18" t="str">
        <f aca="false">IF(A65="","",SUMIF(Entries!$B:$B,A65,Entries!$J:$J))</f>
        <v/>
      </c>
      <c r="R65" s="20" t="str">
        <f aca="false">IF(OR(A65="",P65=0),"",_xlfn.MINIFS(Entries!$N:$N,Entries!$B:$B,A65))</f>
        <v/>
      </c>
      <c r="S65" s="21" t="str">
        <f aca="false">IF(R65="","",R65-Assumptions!$D$5)</f>
        <v/>
      </c>
      <c r="T65" s="18" t="str">
        <f aca="false">IF(A65="","",SUMIF(Entries!$B:$B,A65,Entries!$P:$P))</f>
        <v/>
      </c>
      <c r="U65" s="18" t="str">
        <f aca="false">IF(A65="","",SUMIF(Entries!$B:$B,A65,Entries!$Q:$Q))</f>
        <v/>
      </c>
      <c r="V65" s="18" t="str">
        <f aca="false">IF(A65="","",SUMIF(Entries!$B:$B,A65,Entries!$R:$R))</f>
        <v/>
      </c>
    </row>
    <row r="66" customFormat="false" ht="15" hidden="false" customHeight="true" outlineLevel="0" collapsed="false">
      <c r="H66" s="22"/>
      <c r="I66" s="23"/>
      <c r="J66" s="23"/>
      <c r="K66" s="18" t="str">
        <f aca="false">IF(H66="","",H66*I66*J66)</f>
        <v/>
      </c>
      <c r="L66" s="24"/>
      <c r="P66" s="5" t="str">
        <f aca="false">IF(A66="","",COUNTIF(Entries!$B:$B,A66))</f>
        <v/>
      </c>
      <c r="Q66" s="18" t="str">
        <f aca="false">IF(A66="","",SUMIF(Entries!$B:$B,A66,Entries!$J:$J))</f>
        <v/>
      </c>
      <c r="R66" s="20" t="str">
        <f aca="false">IF(OR(A66="",P66=0),"",_xlfn.MINIFS(Entries!$N:$N,Entries!$B:$B,A66))</f>
        <v/>
      </c>
      <c r="S66" s="21" t="str">
        <f aca="false">IF(R66="","",R66-Assumptions!$D$5)</f>
        <v/>
      </c>
      <c r="T66" s="18" t="str">
        <f aca="false">IF(A66="","",SUMIF(Entries!$B:$B,A66,Entries!$P:$P))</f>
        <v/>
      </c>
      <c r="U66" s="18" t="str">
        <f aca="false">IF(A66="","",SUMIF(Entries!$B:$B,A66,Entries!$Q:$Q))</f>
        <v/>
      </c>
      <c r="V66" s="18" t="str">
        <f aca="false">IF(A66="","",SUMIF(Entries!$B:$B,A66,Entries!$R:$R))</f>
        <v/>
      </c>
    </row>
    <row r="67" customFormat="false" ht="15" hidden="false" customHeight="true" outlineLevel="0" collapsed="false">
      <c r="H67" s="22"/>
      <c r="I67" s="23"/>
      <c r="J67" s="23"/>
      <c r="K67" s="18" t="str">
        <f aca="false">IF(H67="","",H67*I67*J67)</f>
        <v/>
      </c>
      <c r="L67" s="24"/>
      <c r="P67" s="5" t="str">
        <f aca="false">IF(A67="","",COUNTIF(Entries!$B:$B,A67))</f>
        <v/>
      </c>
      <c r="Q67" s="18" t="str">
        <f aca="false">IF(A67="","",SUMIF(Entries!$B:$B,A67,Entries!$J:$J))</f>
        <v/>
      </c>
      <c r="R67" s="20" t="str">
        <f aca="false">IF(OR(A67="",P67=0),"",_xlfn.MINIFS(Entries!$N:$N,Entries!$B:$B,A67))</f>
        <v/>
      </c>
      <c r="S67" s="21" t="str">
        <f aca="false">IF(R67="","",R67-Assumptions!$D$5)</f>
        <v/>
      </c>
      <c r="T67" s="18" t="str">
        <f aca="false">IF(A67="","",SUMIF(Entries!$B:$B,A67,Entries!$P:$P))</f>
        <v/>
      </c>
      <c r="U67" s="18" t="str">
        <f aca="false">IF(A67="","",SUMIF(Entries!$B:$B,A67,Entries!$Q:$Q))</f>
        <v/>
      </c>
      <c r="V67" s="18" t="str">
        <f aca="false">IF(A67="","",SUMIF(Entries!$B:$B,A67,Entries!$R:$R))</f>
        <v/>
      </c>
    </row>
    <row r="68" customFormat="false" ht="15" hidden="false" customHeight="true" outlineLevel="0" collapsed="false">
      <c r="H68" s="22"/>
      <c r="I68" s="23"/>
      <c r="J68" s="23"/>
      <c r="K68" s="18" t="str">
        <f aca="false">IF(H68="","",H68*I68*J68)</f>
        <v/>
      </c>
      <c r="L68" s="24"/>
      <c r="P68" s="5" t="str">
        <f aca="false">IF(A68="","",COUNTIF(Entries!$B:$B,A68))</f>
        <v/>
      </c>
      <c r="Q68" s="18" t="str">
        <f aca="false">IF(A68="","",SUMIF(Entries!$B:$B,A68,Entries!$J:$J))</f>
        <v/>
      </c>
      <c r="R68" s="20" t="str">
        <f aca="false">IF(OR(A68="",P68=0),"",_xlfn.MINIFS(Entries!$N:$N,Entries!$B:$B,A68))</f>
        <v/>
      </c>
      <c r="S68" s="21" t="str">
        <f aca="false">IF(R68="","",R68-Assumptions!$D$5)</f>
        <v/>
      </c>
      <c r="T68" s="18" t="str">
        <f aca="false">IF(A68="","",SUMIF(Entries!$B:$B,A68,Entries!$P:$P))</f>
        <v/>
      </c>
      <c r="U68" s="18" t="str">
        <f aca="false">IF(A68="","",SUMIF(Entries!$B:$B,A68,Entries!$Q:$Q))</f>
        <v/>
      </c>
      <c r="V68" s="18" t="str">
        <f aca="false">IF(A68="","",SUMIF(Entries!$B:$B,A68,Entries!$R:$R))</f>
        <v/>
      </c>
    </row>
    <row r="69" customFormat="false" ht="15" hidden="false" customHeight="true" outlineLevel="0" collapsed="false">
      <c r="H69" s="22"/>
      <c r="I69" s="23"/>
      <c r="J69" s="23"/>
      <c r="K69" s="18" t="str">
        <f aca="false">IF(H69="","",H69*I69*J69)</f>
        <v/>
      </c>
      <c r="L69" s="24"/>
      <c r="P69" s="5" t="str">
        <f aca="false">IF(A69="","",COUNTIF(Entries!$B:$B,A69))</f>
        <v/>
      </c>
      <c r="Q69" s="18" t="str">
        <f aca="false">IF(A69="","",SUMIF(Entries!$B:$B,A69,Entries!$J:$J))</f>
        <v/>
      </c>
      <c r="R69" s="20" t="str">
        <f aca="false">IF(OR(A69="",P69=0),"",_xlfn.MINIFS(Entries!$N:$N,Entries!$B:$B,A69))</f>
        <v/>
      </c>
      <c r="S69" s="21" t="str">
        <f aca="false">IF(R69="","",R69-Assumptions!$D$5)</f>
        <v/>
      </c>
      <c r="T69" s="18" t="str">
        <f aca="false">IF(A69="","",SUMIF(Entries!$B:$B,A69,Entries!$P:$P))</f>
        <v/>
      </c>
      <c r="U69" s="18" t="str">
        <f aca="false">IF(A69="","",SUMIF(Entries!$B:$B,A69,Entries!$Q:$Q))</f>
        <v/>
      </c>
      <c r="V69" s="18" t="str">
        <f aca="false">IF(A69="","",SUMIF(Entries!$B:$B,A69,Entries!$R:$R))</f>
        <v/>
      </c>
    </row>
    <row r="70" customFormat="false" ht="15" hidden="false" customHeight="true" outlineLevel="0" collapsed="false">
      <c r="H70" s="22"/>
      <c r="I70" s="23"/>
      <c r="J70" s="23"/>
      <c r="K70" s="18" t="str">
        <f aca="false">IF(H70="","",H70*I70*J70)</f>
        <v/>
      </c>
      <c r="L70" s="24"/>
      <c r="P70" s="5" t="str">
        <f aca="false">IF(A70="","",COUNTIF(Entries!$B:$B,A70))</f>
        <v/>
      </c>
      <c r="Q70" s="18" t="str">
        <f aca="false">IF(A70="","",SUMIF(Entries!$B:$B,A70,Entries!$J:$J))</f>
        <v/>
      </c>
      <c r="R70" s="20" t="str">
        <f aca="false">IF(OR(A70="",P70=0),"",_xlfn.MINIFS(Entries!$N:$N,Entries!$B:$B,A70))</f>
        <v/>
      </c>
      <c r="S70" s="21" t="str">
        <f aca="false">IF(R70="","",R70-Assumptions!$D$5)</f>
        <v/>
      </c>
      <c r="T70" s="18" t="str">
        <f aca="false">IF(A70="","",SUMIF(Entries!$B:$B,A70,Entries!$P:$P))</f>
        <v/>
      </c>
      <c r="U70" s="18" t="str">
        <f aca="false">IF(A70="","",SUMIF(Entries!$B:$B,A70,Entries!$Q:$Q))</f>
        <v/>
      </c>
      <c r="V70" s="18" t="str">
        <f aca="false">IF(A70="","",SUMIF(Entries!$B:$B,A70,Entries!$R:$R))</f>
        <v/>
      </c>
    </row>
    <row r="71" customFormat="false" ht="15" hidden="false" customHeight="true" outlineLevel="0" collapsed="false">
      <c r="H71" s="22"/>
      <c r="I71" s="23"/>
      <c r="J71" s="23"/>
      <c r="K71" s="18" t="str">
        <f aca="false">IF(H71="","",H71*I71*J71)</f>
        <v/>
      </c>
      <c r="L71" s="24"/>
      <c r="P71" s="5" t="str">
        <f aca="false">IF(A71="","",COUNTIF(Entries!$B:$B,A71))</f>
        <v/>
      </c>
      <c r="Q71" s="18" t="str">
        <f aca="false">IF(A71="","",SUMIF(Entries!$B:$B,A71,Entries!$J:$J))</f>
        <v/>
      </c>
      <c r="R71" s="20" t="str">
        <f aca="false">IF(OR(A71="",P71=0),"",_xlfn.MINIFS(Entries!$N:$N,Entries!$B:$B,A71))</f>
        <v/>
      </c>
      <c r="S71" s="21" t="str">
        <f aca="false">IF(R71="","",R71-Assumptions!$D$5)</f>
        <v/>
      </c>
      <c r="T71" s="18" t="str">
        <f aca="false">IF(A71="","",SUMIF(Entries!$B:$B,A71,Entries!$P:$P))</f>
        <v/>
      </c>
      <c r="U71" s="18" t="str">
        <f aca="false">IF(A71="","",SUMIF(Entries!$B:$B,A71,Entries!$Q:$Q))</f>
        <v/>
      </c>
      <c r="V71" s="18" t="str">
        <f aca="false">IF(A71="","",SUMIF(Entries!$B:$B,A71,Entries!$R:$R))</f>
        <v/>
      </c>
    </row>
    <row r="72" customFormat="false" ht="15" hidden="false" customHeight="true" outlineLevel="0" collapsed="false">
      <c r="H72" s="22"/>
      <c r="I72" s="23"/>
      <c r="J72" s="23"/>
      <c r="K72" s="18" t="str">
        <f aca="false">IF(H72="","",H72*I72*J72)</f>
        <v/>
      </c>
      <c r="L72" s="24"/>
      <c r="P72" s="5" t="str">
        <f aca="false">IF(A72="","",COUNTIF(Entries!$B:$B,A72))</f>
        <v/>
      </c>
      <c r="Q72" s="18" t="str">
        <f aca="false">IF(A72="","",SUMIF(Entries!$B:$B,A72,Entries!$J:$J))</f>
        <v/>
      </c>
      <c r="R72" s="20" t="str">
        <f aca="false">IF(OR(A72="",P72=0),"",_xlfn.MINIFS(Entries!$N:$N,Entries!$B:$B,A72))</f>
        <v/>
      </c>
      <c r="S72" s="21" t="str">
        <f aca="false">IF(R72="","",R72-Assumptions!$D$5)</f>
        <v/>
      </c>
      <c r="T72" s="18" t="str">
        <f aca="false">IF(A72="","",SUMIF(Entries!$B:$B,A72,Entries!$P:$P))</f>
        <v/>
      </c>
      <c r="U72" s="18" t="str">
        <f aca="false">IF(A72="","",SUMIF(Entries!$B:$B,A72,Entries!$Q:$Q))</f>
        <v/>
      </c>
      <c r="V72" s="18" t="str">
        <f aca="false">IF(A72="","",SUMIF(Entries!$B:$B,A72,Entries!$R:$R))</f>
        <v/>
      </c>
    </row>
    <row r="73" customFormat="false" ht="15" hidden="false" customHeight="true" outlineLevel="0" collapsed="false">
      <c r="H73" s="22"/>
      <c r="I73" s="23"/>
      <c r="J73" s="23"/>
      <c r="K73" s="18" t="str">
        <f aca="false">IF(H73="","",H73*I73*J73)</f>
        <v/>
      </c>
      <c r="L73" s="24"/>
      <c r="P73" s="5" t="str">
        <f aca="false">IF(A73="","",COUNTIF(Entries!$B:$B,A73))</f>
        <v/>
      </c>
      <c r="Q73" s="18" t="str">
        <f aca="false">IF(A73="","",SUMIF(Entries!$B:$B,A73,Entries!$J:$J))</f>
        <v/>
      </c>
      <c r="R73" s="20" t="str">
        <f aca="false">IF(OR(A73="",P73=0),"",_xlfn.MINIFS(Entries!$N:$N,Entries!$B:$B,A73))</f>
        <v/>
      </c>
      <c r="S73" s="21" t="str">
        <f aca="false">IF(R73="","",R73-Assumptions!$D$5)</f>
        <v/>
      </c>
      <c r="T73" s="18" t="str">
        <f aca="false">IF(A73="","",SUMIF(Entries!$B:$B,A73,Entries!$P:$P))</f>
        <v/>
      </c>
      <c r="U73" s="18" t="str">
        <f aca="false">IF(A73="","",SUMIF(Entries!$B:$B,A73,Entries!$Q:$Q))</f>
        <v/>
      </c>
      <c r="V73" s="18" t="str">
        <f aca="false">IF(A73="","",SUMIF(Entries!$B:$B,A73,Entries!$R:$R))</f>
        <v/>
      </c>
    </row>
    <row r="74" customFormat="false" ht="15" hidden="false" customHeight="true" outlineLevel="0" collapsed="false">
      <c r="H74" s="22"/>
      <c r="I74" s="23"/>
      <c r="J74" s="23"/>
      <c r="K74" s="18" t="str">
        <f aca="false">IF(H74="","",H74*I74*J74)</f>
        <v/>
      </c>
      <c r="L74" s="24"/>
      <c r="P74" s="5" t="str">
        <f aca="false">IF(A74="","",COUNTIF(Entries!$B:$B,A74))</f>
        <v/>
      </c>
      <c r="Q74" s="18" t="str">
        <f aca="false">IF(A74="","",SUMIF(Entries!$B:$B,A74,Entries!$J:$J))</f>
        <v/>
      </c>
      <c r="R74" s="20" t="str">
        <f aca="false">IF(OR(A74="",P74=0),"",_xlfn.MINIFS(Entries!$N:$N,Entries!$B:$B,A74))</f>
        <v/>
      </c>
      <c r="S74" s="21" t="str">
        <f aca="false">IF(R74="","",R74-Assumptions!$D$5)</f>
        <v/>
      </c>
      <c r="T74" s="18" t="str">
        <f aca="false">IF(A74="","",SUMIF(Entries!$B:$B,A74,Entries!$P:$P))</f>
        <v/>
      </c>
      <c r="U74" s="18" t="str">
        <f aca="false">IF(A74="","",SUMIF(Entries!$B:$B,A74,Entries!$Q:$Q))</f>
        <v/>
      </c>
      <c r="V74" s="18" t="str">
        <f aca="false">IF(A74="","",SUMIF(Entries!$B:$B,A74,Entries!$R:$R))</f>
        <v/>
      </c>
    </row>
    <row r="75" customFormat="false" ht="15" hidden="false" customHeight="true" outlineLevel="0" collapsed="false">
      <c r="H75" s="22"/>
      <c r="I75" s="23"/>
      <c r="J75" s="23"/>
      <c r="K75" s="18" t="str">
        <f aca="false">IF(H75="","",H75*I75*J75)</f>
        <v/>
      </c>
      <c r="L75" s="24"/>
      <c r="P75" s="5" t="str">
        <f aca="false">IF(A75="","",COUNTIF(Entries!$B:$B,A75))</f>
        <v/>
      </c>
      <c r="Q75" s="18" t="str">
        <f aca="false">IF(A75="","",SUMIF(Entries!$B:$B,A75,Entries!$J:$J))</f>
        <v/>
      </c>
      <c r="R75" s="20" t="str">
        <f aca="false">IF(OR(A75="",P75=0),"",_xlfn.MINIFS(Entries!$N:$N,Entries!$B:$B,A75))</f>
        <v/>
      </c>
      <c r="S75" s="21" t="str">
        <f aca="false">IF(R75="","",R75-Assumptions!$D$5)</f>
        <v/>
      </c>
      <c r="T75" s="18" t="str">
        <f aca="false">IF(A75="","",SUMIF(Entries!$B:$B,A75,Entries!$P:$P))</f>
        <v/>
      </c>
      <c r="U75" s="18" t="str">
        <f aca="false">IF(A75="","",SUMIF(Entries!$B:$B,A75,Entries!$Q:$Q))</f>
        <v/>
      </c>
      <c r="V75" s="18" t="str">
        <f aca="false">IF(A75="","",SUMIF(Entries!$B:$B,A75,Entries!$R:$R))</f>
        <v/>
      </c>
    </row>
    <row r="76" customFormat="false" ht="15" hidden="false" customHeight="true" outlineLevel="0" collapsed="false">
      <c r="H76" s="22"/>
      <c r="I76" s="23"/>
      <c r="J76" s="23"/>
      <c r="K76" s="18" t="str">
        <f aca="false">IF(H76="","",H76*I76*J76)</f>
        <v/>
      </c>
      <c r="L76" s="24"/>
      <c r="P76" s="5" t="str">
        <f aca="false">IF(A76="","",COUNTIF(Entries!$B:$B,A76))</f>
        <v/>
      </c>
      <c r="Q76" s="18" t="str">
        <f aca="false">IF(A76="","",SUMIF(Entries!$B:$B,A76,Entries!$J:$J))</f>
        <v/>
      </c>
      <c r="R76" s="20" t="str">
        <f aca="false">IF(OR(A76="",P76=0),"",_xlfn.MINIFS(Entries!$N:$N,Entries!$B:$B,A76))</f>
        <v/>
      </c>
      <c r="S76" s="21" t="str">
        <f aca="false">IF(R76="","",R76-Assumptions!$D$5)</f>
        <v/>
      </c>
      <c r="T76" s="18" t="str">
        <f aca="false">IF(A76="","",SUMIF(Entries!$B:$B,A76,Entries!$P:$P))</f>
        <v/>
      </c>
      <c r="U76" s="18" t="str">
        <f aca="false">IF(A76="","",SUMIF(Entries!$B:$B,A76,Entries!$Q:$Q))</f>
        <v/>
      </c>
      <c r="V76" s="18" t="str">
        <f aca="false">IF(A76="","",SUMIF(Entries!$B:$B,A76,Entries!$R:$R))</f>
        <v/>
      </c>
    </row>
    <row r="77" customFormat="false" ht="15" hidden="false" customHeight="true" outlineLevel="0" collapsed="false">
      <c r="H77" s="22"/>
      <c r="I77" s="23"/>
      <c r="J77" s="23"/>
      <c r="K77" s="18" t="str">
        <f aca="false">IF(H77="","",H77*I77*J77)</f>
        <v/>
      </c>
      <c r="L77" s="24"/>
      <c r="P77" s="5" t="str">
        <f aca="false">IF(A77="","",COUNTIF(Entries!$B:$B,A77))</f>
        <v/>
      </c>
      <c r="Q77" s="18" t="str">
        <f aca="false">IF(A77="","",SUMIF(Entries!$B:$B,A77,Entries!$J:$J))</f>
        <v/>
      </c>
      <c r="R77" s="20" t="str">
        <f aca="false">IF(OR(A77="",P77=0),"",_xlfn.MINIFS(Entries!$N:$N,Entries!$B:$B,A77))</f>
        <v/>
      </c>
      <c r="S77" s="21" t="str">
        <f aca="false">IF(R77="","",R77-Assumptions!$D$5)</f>
        <v/>
      </c>
      <c r="T77" s="18" t="str">
        <f aca="false">IF(A77="","",SUMIF(Entries!$B:$B,A77,Entries!$P:$P))</f>
        <v/>
      </c>
      <c r="U77" s="18" t="str">
        <f aca="false">IF(A77="","",SUMIF(Entries!$B:$B,A77,Entries!$Q:$Q))</f>
        <v/>
      </c>
      <c r="V77" s="18" t="str">
        <f aca="false">IF(A77="","",SUMIF(Entries!$B:$B,A77,Entries!$R:$R))</f>
        <v/>
      </c>
    </row>
    <row r="78" customFormat="false" ht="15" hidden="false" customHeight="true" outlineLevel="0" collapsed="false">
      <c r="H78" s="22"/>
      <c r="I78" s="23"/>
      <c r="J78" s="23"/>
      <c r="K78" s="18" t="str">
        <f aca="false">IF(H78="","",H78*I78*J78)</f>
        <v/>
      </c>
      <c r="L78" s="24"/>
      <c r="P78" s="5" t="str">
        <f aca="false">IF(A78="","",COUNTIF(Entries!$B:$B,A78))</f>
        <v/>
      </c>
      <c r="Q78" s="18" t="str">
        <f aca="false">IF(A78="","",SUMIF(Entries!$B:$B,A78,Entries!$J:$J))</f>
        <v/>
      </c>
      <c r="R78" s="20" t="str">
        <f aca="false">IF(OR(A78="",P78=0),"",_xlfn.MINIFS(Entries!$N:$N,Entries!$B:$B,A78))</f>
        <v/>
      </c>
      <c r="S78" s="21" t="str">
        <f aca="false">IF(R78="","",R78-Assumptions!$D$5)</f>
        <v/>
      </c>
      <c r="T78" s="18" t="str">
        <f aca="false">IF(A78="","",SUMIF(Entries!$B:$B,A78,Entries!$P:$P))</f>
        <v/>
      </c>
      <c r="U78" s="18" t="str">
        <f aca="false">IF(A78="","",SUMIF(Entries!$B:$B,A78,Entries!$Q:$Q))</f>
        <v/>
      </c>
      <c r="V78" s="18" t="str">
        <f aca="false">IF(A78="","",SUMIF(Entries!$B:$B,A78,Entries!$R:$R))</f>
        <v/>
      </c>
    </row>
    <row r="79" customFormat="false" ht="15" hidden="false" customHeight="true" outlineLevel="0" collapsed="false">
      <c r="H79" s="22"/>
      <c r="I79" s="23"/>
      <c r="J79" s="23"/>
      <c r="K79" s="18" t="str">
        <f aca="false">IF(H79="","",H79*I79*J79)</f>
        <v/>
      </c>
      <c r="L79" s="24"/>
      <c r="P79" s="5" t="str">
        <f aca="false">IF(A79="","",COUNTIF(Entries!$B:$B,A79))</f>
        <v/>
      </c>
      <c r="Q79" s="18" t="str">
        <f aca="false">IF(A79="","",SUMIF(Entries!$B:$B,A79,Entries!$J:$J))</f>
        <v/>
      </c>
      <c r="R79" s="20" t="str">
        <f aca="false">IF(OR(A79="",P79=0),"",_xlfn.MINIFS(Entries!$N:$N,Entries!$B:$B,A79))</f>
        <v/>
      </c>
      <c r="S79" s="21" t="str">
        <f aca="false">IF(R79="","",R79-Assumptions!$D$5)</f>
        <v/>
      </c>
      <c r="T79" s="18" t="str">
        <f aca="false">IF(A79="","",SUMIF(Entries!$B:$B,A79,Entries!$P:$P))</f>
        <v/>
      </c>
      <c r="U79" s="18" t="str">
        <f aca="false">IF(A79="","",SUMIF(Entries!$B:$B,A79,Entries!$Q:$Q))</f>
        <v/>
      </c>
      <c r="V79" s="18" t="str">
        <f aca="false">IF(A79="","",SUMIF(Entries!$B:$B,A79,Entries!$R:$R))</f>
        <v/>
      </c>
    </row>
    <row r="80" customFormat="false" ht="15" hidden="false" customHeight="true" outlineLevel="0" collapsed="false">
      <c r="H80" s="22"/>
      <c r="I80" s="23"/>
      <c r="J80" s="23"/>
      <c r="K80" s="18" t="str">
        <f aca="false">IF(H80="","",H80*I80*J80)</f>
        <v/>
      </c>
      <c r="L80" s="24"/>
      <c r="P80" s="5" t="str">
        <f aca="false">IF(A80="","",COUNTIF(Entries!$B:$B,A80))</f>
        <v/>
      </c>
      <c r="Q80" s="18" t="str">
        <f aca="false">IF(A80="","",SUMIF(Entries!$B:$B,A80,Entries!$J:$J))</f>
        <v/>
      </c>
      <c r="R80" s="20" t="str">
        <f aca="false">IF(OR(A80="",P80=0),"",_xlfn.MINIFS(Entries!$N:$N,Entries!$B:$B,A80))</f>
        <v/>
      </c>
      <c r="S80" s="21" t="str">
        <f aca="false">IF(R80="","",R80-Assumptions!$D$5)</f>
        <v/>
      </c>
      <c r="T80" s="18" t="str">
        <f aca="false">IF(A80="","",SUMIF(Entries!$B:$B,A80,Entries!$P:$P))</f>
        <v/>
      </c>
      <c r="U80" s="18" t="str">
        <f aca="false">IF(A80="","",SUMIF(Entries!$B:$B,A80,Entries!$Q:$Q))</f>
        <v/>
      </c>
      <c r="V80" s="18" t="str">
        <f aca="false">IF(A80="","",SUMIF(Entries!$B:$B,A80,Entries!$R:$R))</f>
        <v/>
      </c>
    </row>
    <row r="81" customFormat="false" ht="15" hidden="false" customHeight="true" outlineLevel="0" collapsed="false">
      <c r="H81" s="22"/>
      <c r="I81" s="23"/>
      <c r="J81" s="23"/>
      <c r="K81" s="18" t="str">
        <f aca="false">IF(H81="","",H81*I81*J81)</f>
        <v/>
      </c>
      <c r="L81" s="24"/>
      <c r="P81" s="5" t="str">
        <f aca="false">IF(A81="","",COUNTIF(Entries!$B:$B,A81))</f>
        <v/>
      </c>
      <c r="Q81" s="18" t="str">
        <f aca="false">IF(A81="","",SUMIF(Entries!$B:$B,A81,Entries!$J:$J))</f>
        <v/>
      </c>
      <c r="R81" s="20" t="str">
        <f aca="false">IF(OR(A81="",P81=0),"",_xlfn.MINIFS(Entries!$N:$N,Entries!$B:$B,A81))</f>
        <v/>
      </c>
      <c r="S81" s="21" t="str">
        <f aca="false">IF(R81="","",R81-Assumptions!$D$5)</f>
        <v/>
      </c>
      <c r="T81" s="18" t="str">
        <f aca="false">IF(A81="","",SUMIF(Entries!$B:$B,A81,Entries!$P:$P))</f>
        <v/>
      </c>
      <c r="U81" s="18" t="str">
        <f aca="false">IF(A81="","",SUMIF(Entries!$B:$B,A81,Entries!$Q:$Q))</f>
        <v/>
      </c>
      <c r="V81" s="18" t="str">
        <f aca="false">IF(A81="","",SUMIF(Entries!$B:$B,A81,Entries!$R:$R))</f>
        <v/>
      </c>
    </row>
    <row r="82" customFormat="false" ht="15" hidden="false" customHeight="true" outlineLevel="0" collapsed="false">
      <c r="H82" s="22"/>
      <c r="I82" s="23"/>
      <c r="J82" s="23"/>
      <c r="K82" s="18" t="str">
        <f aca="false">IF(H82="","",H82*I82*J82)</f>
        <v/>
      </c>
      <c r="L82" s="24"/>
      <c r="P82" s="5" t="str">
        <f aca="false">IF(A82="","",COUNTIF(Entries!$B:$B,A82))</f>
        <v/>
      </c>
      <c r="Q82" s="18" t="str">
        <f aca="false">IF(A82="","",SUMIF(Entries!$B:$B,A82,Entries!$J:$J))</f>
        <v/>
      </c>
      <c r="R82" s="20" t="str">
        <f aca="false">IF(OR(A82="",P82=0),"",_xlfn.MINIFS(Entries!$N:$N,Entries!$B:$B,A82))</f>
        <v/>
      </c>
      <c r="S82" s="21" t="str">
        <f aca="false">IF(R82="","",R82-Assumptions!$D$5)</f>
        <v/>
      </c>
      <c r="T82" s="18" t="str">
        <f aca="false">IF(A82="","",SUMIF(Entries!$B:$B,A82,Entries!$P:$P))</f>
        <v/>
      </c>
      <c r="U82" s="18" t="str">
        <f aca="false">IF(A82="","",SUMIF(Entries!$B:$B,A82,Entries!$Q:$Q))</f>
        <v/>
      </c>
      <c r="V82" s="18" t="str">
        <f aca="false">IF(A82="","",SUMIF(Entries!$B:$B,A82,Entries!$R:$R))</f>
        <v/>
      </c>
    </row>
    <row r="83" customFormat="false" ht="15" hidden="false" customHeight="true" outlineLevel="0" collapsed="false">
      <c r="H83" s="22"/>
      <c r="I83" s="23"/>
      <c r="J83" s="23"/>
      <c r="K83" s="18" t="str">
        <f aca="false">IF(H83="","",H83*I83*J83)</f>
        <v/>
      </c>
      <c r="L83" s="24"/>
      <c r="P83" s="5" t="str">
        <f aca="false">IF(A83="","",COUNTIF(Entries!$B:$B,A83))</f>
        <v/>
      </c>
      <c r="Q83" s="18" t="str">
        <f aca="false">IF(A83="","",SUMIF(Entries!$B:$B,A83,Entries!$J:$J))</f>
        <v/>
      </c>
      <c r="R83" s="20" t="str">
        <f aca="false">IF(OR(A83="",P83=0),"",_xlfn.MINIFS(Entries!$N:$N,Entries!$B:$B,A83))</f>
        <v/>
      </c>
      <c r="S83" s="21" t="str">
        <f aca="false">IF(R83="","",R83-Assumptions!$D$5)</f>
        <v/>
      </c>
      <c r="T83" s="18" t="str">
        <f aca="false">IF(A83="","",SUMIF(Entries!$B:$B,A83,Entries!$P:$P))</f>
        <v/>
      </c>
      <c r="U83" s="18" t="str">
        <f aca="false">IF(A83="","",SUMIF(Entries!$B:$B,A83,Entries!$Q:$Q))</f>
        <v/>
      </c>
      <c r="V83" s="18" t="str">
        <f aca="false">IF(A83="","",SUMIF(Entries!$B:$B,A83,Entries!$R:$R))</f>
        <v/>
      </c>
    </row>
    <row r="84" customFormat="false" ht="15" hidden="false" customHeight="true" outlineLevel="0" collapsed="false">
      <c r="H84" s="22"/>
      <c r="I84" s="23"/>
      <c r="J84" s="23"/>
      <c r="K84" s="18" t="str">
        <f aca="false">IF(H84="","",H84*I84*J84)</f>
        <v/>
      </c>
      <c r="L84" s="24"/>
      <c r="P84" s="5" t="str">
        <f aca="false">IF(A84="","",COUNTIF(Entries!$B:$B,A84))</f>
        <v/>
      </c>
      <c r="Q84" s="18" t="str">
        <f aca="false">IF(A84="","",SUMIF(Entries!$B:$B,A84,Entries!$J:$J))</f>
        <v/>
      </c>
      <c r="R84" s="20" t="str">
        <f aca="false">IF(OR(A84="",P84=0),"",_xlfn.MINIFS(Entries!$N:$N,Entries!$B:$B,A84))</f>
        <v/>
      </c>
      <c r="S84" s="21" t="str">
        <f aca="false">IF(R84="","",R84-Assumptions!$D$5)</f>
        <v/>
      </c>
      <c r="T84" s="18" t="str">
        <f aca="false">IF(A84="","",SUMIF(Entries!$B:$B,A84,Entries!$P:$P))</f>
        <v/>
      </c>
      <c r="U84" s="18" t="str">
        <f aca="false">IF(A84="","",SUMIF(Entries!$B:$B,A84,Entries!$Q:$Q))</f>
        <v/>
      </c>
      <c r="V84" s="18" t="str">
        <f aca="false">IF(A84="","",SUMIF(Entries!$B:$B,A84,Entries!$R:$R))</f>
        <v/>
      </c>
    </row>
    <row r="85" customFormat="false" ht="15" hidden="false" customHeight="true" outlineLevel="0" collapsed="false">
      <c r="H85" s="22"/>
      <c r="I85" s="23"/>
      <c r="J85" s="23"/>
      <c r="K85" s="18" t="str">
        <f aca="false">IF(H85="","",H85*I85*J85)</f>
        <v/>
      </c>
      <c r="L85" s="24"/>
      <c r="P85" s="5" t="str">
        <f aca="false">IF(A85="","",COUNTIF(Entries!$B:$B,A85))</f>
        <v/>
      </c>
      <c r="Q85" s="18" t="str">
        <f aca="false">IF(A85="","",SUMIF(Entries!$B:$B,A85,Entries!$J:$J))</f>
        <v/>
      </c>
      <c r="R85" s="20" t="str">
        <f aca="false">IF(OR(A85="",P85=0),"",_xlfn.MINIFS(Entries!$N:$N,Entries!$B:$B,A85))</f>
        <v/>
      </c>
      <c r="S85" s="21" t="str">
        <f aca="false">IF(R85="","",R85-Assumptions!$D$5)</f>
        <v/>
      </c>
      <c r="T85" s="18" t="str">
        <f aca="false">IF(A85="","",SUMIF(Entries!$B:$B,A85,Entries!$P:$P))</f>
        <v/>
      </c>
      <c r="U85" s="18" t="str">
        <f aca="false">IF(A85="","",SUMIF(Entries!$B:$B,A85,Entries!$Q:$Q))</f>
        <v/>
      </c>
      <c r="V85" s="18" t="str">
        <f aca="false">IF(A85="","",SUMIF(Entries!$B:$B,A85,Entries!$R:$R))</f>
        <v/>
      </c>
    </row>
    <row r="86" customFormat="false" ht="15" hidden="false" customHeight="true" outlineLevel="0" collapsed="false">
      <c r="H86" s="22"/>
      <c r="I86" s="23"/>
      <c r="J86" s="23"/>
      <c r="K86" s="18" t="str">
        <f aca="false">IF(H86="","",H86*I86*J86)</f>
        <v/>
      </c>
      <c r="L86" s="24"/>
      <c r="P86" s="5" t="str">
        <f aca="false">IF(A86="","",COUNTIF(Entries!$B:$B,A86))</f>
        <v/>
      </c>
      <c r="Q86" s="18" t="str">
        <f aca="false">IF(A86="","",SUMIF(Entries!$B:$B,A86,Entries!$J:$J))</f>
        <v/>
      </c>
      <c r="R86" s="20" t="str">
        <f aca="false">IF(OR(A86="",P86=0),"",_xlfn.MINIFS(Entries!$N:$N,Entries!$B:$B,A86))</f>
        <v/>
      </c>
      <c r="S86" s="21" t="str">
        <f aca="false">IF(R86="","",R86-Assumptions!$D$5)</f>
        <v/>
      </c>
      <c r="T86" s="18" t="str">
        <f aca="false">IF(A86="","",SUMIF(Entries!$B:$B,A86,Entries!$P:$P))</f>
        <v/>
      </c>
      <c r="U86" s="18" t="str">
        <f aca="false">IF(A86="","",SUMIF(Entries!$B:$B,A86,Entries!$Q:$Q))</f>
        <v/>
      </c>
      <c r="V86" s="18" t="str">
        <f aca="false">IF(A86="","",SUMIF(Entries!$B:$B,A86,Entries!$R:$R))</f>
        <v/>
      </c>
    </row>
    <row r="87" customFormat="false" ht="15" hidden="false" customHeight="true" outlineLevel="0" collapsed="false">
      <c r="H87" s="22"/>
      <c r="I87" s="23"/>
      <c r="J87" s="23"/>
      <c r="K87" s="18" t="str">
        <f aca="false">IF(H87="","",H87*I87*J87)</f>
        <v/>
      </c>
      <c r="L87" s="24"/>
      <c r="P87" s="5" t="str">
        <f aca="false">IF(A87="","",COUNTIF(Entries!$B:$B,A87))</f>
        <v/>
      </c>
      <c r="Q87" s="18" t="str">
        <f aca="false">IF(A87="","",SUMIF(Entries!$B:$B,A87,Entries!$J:$J))</f>
        <v/>
      </c>
      <c r="R87" s="20" t="str">
        <f aca="false">IF(OR(A87="",P87=0),"",_xlfn.MINIFS(Entries!$N:$N,Entries!$B:$B,A87))</f>
        <v/>
      </c>
      <c r="S87" s="21" t="str">
        <f aca="false">IF(R87="","",R87-Assumptions!$D$5)</f>
        <v/>
      </c>
      <c r="T87" s="18" t="str">
        <f aca="false">IF(A87="","",SUMIF(Entries!$B:$B,A87,Entries!$P:$P))</f>
        <v/>
      </c>
      <c r="U87" s="18" t="str">
        <f aca="false">IF(A87="","",SUMIF(Entries!$B:$B,A87,Entries!$Q:$Q))</f>
        <v/>
      </c>
      <c r="V87" s="18" t="str">
        <f aca="false">IF(A87="","",SUMIF(Entries!$B:$B,A87,Entries!$R:$R))</f>
        <v/>
      </c>
    </row>
    <row r="88" customFormat="false" ht="15" hidden="false" customHeight="true" outlineLevel="0" collapsed="false">
      <c r="H88" s="22"/>
      <c r="I88" s="23"/>
      <c r="J88" s="23"/>
      <c r="K88" s="18" t="str">
        <f aca="false">IF(H88="","",H88*I88*J88)</f>
        <v/>
      </c>
      <c r="L88" s="24"/>
      <c r="P88" s="5" t="str">
        <f aca="false">IF(A88="","",COUNTIF(Entries!$B:$B,A88))</f>
        <v/>
      </c>
      <c r="Q88" s="18" t="str">
        <f aca="false">IF(A88="","",SUMIF(Entries!$B:$B,A88,Entries!$J:$J))</f>
        <v/>
      </c>
      <c r="R88" s="20" t="str">
        <f aca="false">IF(OR(A88="",P88=0),"",_xlfn.MINIFS(Entries!$N:$N,Entries!$B:$B,A88))</f>
        <v/>
      </c>
      <c r="S88" s="21" t="str">
        <f aca="false">IF(R88="","",R88-Assumptions!$D$5)</f>
        <v/>
      </c>
      <c r="T88" s="18" t="str">
        <f aca="false">IF(A88="","",SUMIF(Entries!$B:$B,A88,Entries!$P:$P))</f>
        <v/>
      </c>
      <c r="U88" s="18" t="str">
        <f aca="false">IF(A88="","",SUMIF(Entries!$B:$B,A88,Entries!$Q:$Q))</f>
        <v/>
      </c>
      <c r="V88" s="18" t="str">
        <f aca="false">IF(A88="","",SUMIF(Entries!$B:$B,A88,Entries!$R:$R))</f>
        <v/>
      </c>
    </row>
    <row r="89" customFormat="false" ht="15" hidden="false" customHeight="true" outlineLevel="0" collapsed="false">
      <c r="H89" s="22"/>
      <c r="I89" s="23"/>
      <c r="J89" s="23"/>
      <c r="K89" s="18" t="str">
        <f aca="false">IF(H89="","",H89*I89*J89)</f>
        <v/>
      </c>
      <c r="L89" s="24"/>
      <c r="P89" s="5" t="str">
        <f aca="false">IF(A89="","",COUNTIF(Entries!$B:$B,A89))</f>
        <v/>
      </c>
      <c r="Q89" s="18" t="str">
        <f aca="false">IF(A89="","",SUMIF(Entries!$B:$B,A89,Entries!$J:$J))</f>
        <v/>
      </c>
      <c r="R89" s="20" t="str">
        <f aca="false">IF(OR(A89="",P89=0),"",_xlfn.MINIFS(Entries!$N:$N,Entries!$B:$B,A89))</f>
        <v/>
      </c>
      <c r="S89" s="21" t="str">
        <f aca="false">IF(R89="","",R89-Assumptions!$D$5)</f>
        <v/>
      </c>
      <c r="T89" s="18" t="str">
        <f aca="false">IF(A89="","",SUMIF(Entries!$B:$B,A89,Entries!$P:$P))</f>
        <v/>
      </c>
      <c r="U89" s="18" t="str">
        <f aca="false">IF(A89="","",SUMIF(Entries!$B:$B,A89,Entries!$Q:$Q))</f>
        <v/>
      </c>
      <c r="V89" s="18" t="str">
        <f aca="false">IF(A89="","",SUMIF(Entries!$B:$B,A89,Entries!$R:$R))</f>
        <v/>
      </c>
    </row>
    <row r="90" customFormat="false" ht="15" hidden="false" customHeight="true" outlineLevel="0" collapsed="false">
      <c r="H90" s="22"/>
      <c r="I90" s="23"/>
      <c r="J90" s="23"/>
      <c r="K90" s="18" t="str">
        <f aca="false">IF(H90="","",H90*I90*J90)</f>
        <v/>
      </c>
      <c r="L90" s="24"/>
      <c r="P90" s="5" t="str">
        <f aca="false">IF(A90="","",COUNTIF(Entries!$B:$B,A90))</f>
        <v/>
      </c>
      <c r="Q90" s="18" t="str">
        <f aca="false">IF(A90="","",SUMIF(Entries!$B:$B,A90,Entries!$J:$J))</f>
        <v/>
      </c>
      <c r="R90" s="20" t="str">
        <f aca="false">IF(OR(A90="",P90=0),"",_xlfn.MINIFS(Entries!$N:$N,Entries!$B:$B,A90))</f>
        <v/>
      </c>
      <c r="S90" s="21" t="str">
        <f aca="false">IF(R90="","",R90-Assumptions!$D$5)</f>
        <v/>
      </c>
      <c r="T90" s="18" t="str">
        <f aca="false">IF(A90="","",SUMIF(Entries!$B:$B,A90,Entries!$P:$P))</f>
        <v/>
      </c>
      <c r="U90" s="18" t="str">
        <f aca="false">IF(A90="","",SUMIF(Entries!$B:$B,A90,Entries!$Q:$Q))</f>
        <v/>
      </c>
      <c r="V90" s="18" t="str">
        <f aca="false">IF(A90="","",SUMIF(Entries!$B:$B,A90,Entries!$R:$R))</f>
        <v/>
      </c>
    </row>
    <row r="91" customFormat="false" ht="15" hidden="false" customHeight="true" outlineLevel="0" collapsed="false">
      <c r="H91" s="22"/>
      <c r="I91" s="23"/>
      <c r="J91" s="23"/>
      <c r="K91" s="18" t="str">
        <f aca="false">IF(H91="","",H91*I91*J91)</f>
        <v/>
      </c>
      <c r="L91" s="24"/>
      <c r="P91" s="5" t="str">
        <f aca="false">IF(A91="","",COUNTIF(Entries!$B:$B,A91))</f>
        <v/>
      </c>
      <c r="Q91" s="18" t="str">
        <f aca="false">IF(A91="","",SUMIF(Entries!$B:$B,A91,Entries!$J:$J))</f>
        <v/>
      </c>
      <c r="R91" s="20" t="str">
        <f aca="false">IF(OR(A91="",P91=0),"",_xlfn.MINIFS(Entries!$N:$N,Entries!$B:$B,A91))</f>
        <v/>
      </c>
      <c r="S91" s="21" t="str">
        <f aca="false">IF(R91="","",R91-Assumptions!$D$5)</f>
        <v/>
      </c>
      <c r="T91" s="18" t="str">
        <f aca="false">IF(A91="","",SUMIF(Entries!$B:$B,A91,Entries!$P:$P))</f>
        <v/>
      </c>
      <c r="U91" s="18" t="str">
        <f aca="false">IF(A91="","",SUMIF(Entries!$B:$B,A91,Entries!$Q:$Q))</f>
        <v/>
      </c>
      <c r="V91" s="18" t="str">
        <f aca="false">IF(A91="","",SUMIF(Entries!$B:$B,A91,Entries!$R:$R))</f>
        <v/>
      </c>
    </row>
    <row r="92" customFormat="false" ht="15" hidden="false" customHeight="true" outlineLevel="0" collapsed="false">
      <c r="H92" s="22"/>
      <c r="I92" s="23"/>
      <c r="J92" s="23"/>
      <c r="K92" s="18" t="str">
        <f aca="false">IF(H92="","",H92*I92*J92)</f>
        <v/>
      </c>
      <c r="L92" s="24"/>
      <c r="P92" s="5" t="str">
        <f aca="false">IF(A92="","",COUNTIF(Entries!$B:$B,A92))</f>
        <v/>
      </c>
      <c r="Q92" s="18" t="str">
        <f aca="false">IF(A92="","",SUMIF(Entries!$B:$B,A92,Entries!$J:$J))</f>
        <v/>
      </c>
      <c r="R92" s="20" t="str">
        <f aca="false">IF(OR(A92="",P92=0),"",_xlfn.MINIFS(Entries!$N:$N,Entries!$B:$B,A92))</f>
        <v/>
      </c>
      <c r="S92" s="21" t="str">
        <f aca="false">IF(R92="","",R92-Assumptions!$D$5)</f>
        <v/>
      </c>
      <c r="T92" s="18" t="str">
        <f aca="false">IF(A92="","",SUMIF(Entries!$B:$B,A92,Entries!$P:$P))</f>
        <v/>
      </c>
      <c r="U92" s="18" t="str">
        <f aca="false">IF(A92="","",SUMIF(Entries!$B:$B,A92,Entries!$Q:$Q))</f>
        <v/>
      </c>
      <c r="V92" s="18" t="str">
        <f aca="false">IF(A92="","",SUMIF(Entries!$B:$B,A92,Entries!$R:$R))</f>
        <v/>
      </c>
    </row>
    <row r="93" customFormat="false" ht="15" hidden="false" customHeight="true" outlineLevel="0" collapsed="false">
      <c r="H93" s="22"/>
      <c r="I93" s="23"/>
      <c r="J93" s="23"/>
      <c r="K93" s="18" t="str">
        <f aca="false">IF(H93="","",H93*I93*J93)</f>
        <v/>
      </c>
      <c r="L93" s="24"/>
      <c r="P93" s="5" t="str">
        <f aca="false">IF(A93="","",COUNTIF(Entries!$B:$B,A93))</f>
        <v/>
      </c>
      <c r="Q93" s="18" t="str">
        <f aca="false">IF(A93="","",SUMIF(Entries!$B:$B,A93,Entries!$J:$J))</f>
        <v/>
      </c>
      <c r="R93" s="20" t="str">
        <f aca="false">IF(OR(A93="",P93=0),"",_xlfn.MINIFS(Entries!$N:$N,Entries!$B:$B,A93))</f>
        <v/>
      </c>
      <c r="S93" s="21" t="str">
        <f aca="false">IF(R93="","",R93-Assumptions!$D$5)</f>
        <v/>
      </c>
      <c r="T93" s="18" t="str">
        <f aca="false">IF(A93="","",SUMIF(Entries!$B:$B,A93,Entries!$P:$P))</f>
        <v/>
      </c>
      <c r="U93" s="18" t="str">
        <f aca="false">IF(A93="","",SUMIF(Entries!$B:$B,A93,Entries!$Q:$Q))</f>
        <v/>
      </c>
      <c r="V93" s="18" t="str">
        <f aca="false">IF(A93="","",SUMIF(Entries!$B:$B,A93,Entries!$R:$R))</f>
        <v/>
      </c>
    </row>
    <row r="94" customFormat="false" ht="15" hidden="false" customHeight="true" outlineLevel="0" collapsed="false">
      <c r="H94" s="22"/>
      <c r="I94" s="23"/>
      <c r="J94" s="23"/>
      <c r="K94" s="18" t="str">
        <f aca="false">IF(H94="","",H94*I94*J94)</f>
        <v/>
      </c>
      <c r="L94" s="24"/>
      <c r="P94" s="5" t="str">
        <f aca="false">IF(A94="","",COUNTIF(Entries!$B:$B,A94))</f>
        <v/>
      </c>
      <c r="Q94" s="18" t="str">
        <f aca="false">IF(A94="","",SUMIF(Entries!$B:$B,A94,Entries!$J:$J))</f>
        <v/>
      </c>
      <c r="R94" s="20" t="str">
        <f aca="false">IF(OR(A94="",P94=0),"",_xlfn.MINIFS(Entries!$N:$N,Entries!$B:$B,A94))</f>
        <v/>
      </c>
      <c r="S94" s="21" t="str">
        <f aca="false">IF(R94="","",R94-Assumptions!$D$5)</f>
        <v/>
      </c>
      <c r="T94" s="18" t="str">
        <f aca="false">IF(A94="","",SUMIF(Entries!$B:$B,A94,Entries!$P:$P))</f>
        <v/>
      </c>
      <c r="U94" s="18" t="str">
        <f aca="false">IF(A94="","",SUMIF(Entries!$B:$B,A94,Entries!$Q:$Q))</f>
        <v/>
      </c>
      <c r="V94" s="18" t="str">
        <f aca="false">IF(A94="","",SUMIF(Entries!$B:$B,A94,Entries!$R:$R))</f>
        <v/>
      </c>
    </row>
    <row r="95" customFormat="false" ht="15" hidden="false" customHeight="true" outlineLevel="0" collapsed="false">
      <c r="H95" s="22"/>
      <c r="I95" s="23"/>
      <c r="J95" s="23"/>
      <c r="K95" s="18" t="str">
        <f aca="false">IF(H95="","",H95*I95*J95)</f>
        <v/>
      </c>
      <c r="L95" s="24"/>
      <c r="P95" s="5" t="str">
        <f aca="false">IF(A95="","",COUNTIF(Entries!$B:$B,A95))</f>
        <v/>
      </c>
      <c r="Q95" s="18" t="str">
        <f aca="false">IF(A95="","",SUMIF(Entries!$B:$B,A95,Entries!$J:$J))</f>
        <v/>
      </c>
      <c r="R95" s="20" t="str">
        <f aca="false">IF(OR(A95="",P95=0),"",_xlfn.MINIFS(Entries!$N:$N,Entries!$B:$B,A95))</f>
        <v/>
      </c>
      <c r="S95" s="21" t="str">
        <f aca="false">IF(R95="","",R95-Assumptions!$D$5)</f>
        <v/>
      </c>
      <c r="T95" s="18" t="str">
        <f aca="false">IF(A95="","",SUMIF(Entries!$B:$B,A95,Entries!$P:$P))</f>
        <v/>
      </c>
      <c r="U95" s="18" t="str">
        <f aca="false">IF(A95="","",SUMIF(Entries!$B:$B,A95,Entries!$Q:$Q))</f>
        <v/>
      </c>
      <c r="V95" s="18" t="str">
        <f aca="false">IF(A95="","",SUMIF(Entries!$B:$B,A95,Entries!$R:$R))</f>
        <v/>
      </c>
    </row>
    <row r="96" customFormat="false" ht="15" hidden="false" customHeight="true" outlineLevel="0" collapsed="false">
      <c r="H96" s="22"/>
      <c r="I96" s="23"/>
      <c r="J96" s="23"/>
      <c r="K96" s="18" t="str">
        <f aca="false">IF(H96="","",H96*I96*J96)</f>
        <v/>
      </c>
      <c r="L96" s="24"/>
      <c r="P96" s="5" t="str">
        <f aca="false">IF(A96="","",COUNTIF(Entries!$B:$B,A96))</f>
        <v/>
      </c>
      <c r="Q96" s="18" t="str">
        <f aca="false">IF(A96="","",SUMIF(Entries!$B:$B,A96,Entries!$J:$J))</f>
        <v/>
      </c>
      <c r="R96" s="20" t="str">
        <f aca="false">IF(OR(A96="",P96=0),"",_xlfn.MINIFS(Entries!$N:$N,Entries!$B:$B,A96))</f>
        <v/>
      </c>
      <c r="S96" s="21" t="str">
        <f aca="false">IF(R96="","",R96-Assumptions!$D$5)</f>
        <v/>
      </c>
      <c r="T96" s="18" t="str">
        <f aca="false">IF(A96="","",SUMIF(Entries!$B:$B,A96,Entries!$P:$P))</f>
        <v/>
      </c>
      <c r="U96" s="18" t="str">
        <f aca="false">IF(A96="","",SUMIF(Entries!$B:$B,A96,Entries!$Q:$Q))</f>
        <v/>
      </c>
      <c r="V96" s="18" t="str">
        <f aca="false">IF(A96="","",SUMIF(Entries!$B:$B,A96,Entries!$R:$R))</f>
        <v/>
      </c>
    </row>
    <row r="97" customFormat="false" ht="15" hidden="false" customHeight="true" outlineLevel="0" collapsed="false">
      <c r="H97" s="22"/>
      <c r="I97" s="23"/>
      <c r="J97" s="23"/>
      <c r="K97" s="18" t="str">
        <f aca="false">IF(H97="","",H97*I97*J97)</f>
        <v/>
      </c>
      <c r="L97" s="24"/>
      <c r="P97" s="5" t="str">
        <f aca="false">IF(A97="","",COUNTIF(Entries!$B:$B,A97))</f>
        <v/>
      </c>
      <c r="Q97" s="18" t="str">
        <f aca="false">IF(A97="","",SUMIF(Entries!$B:$B,A97,Entries!$J:$J))</f>
        <v/>
      </c>
      <c r="R97" s="20" t="str">
        <f aca="false">IF(OR(A97="",P97=0),"",_xlfn.MINIFS(Entries!$N:$N,Entries!$B:$B,A97))</f>
        <v/>
      </c>
      <c r="S97" s="21" t="str">
        <f aca="false">IF(R97="","",R97-Assumptions!$D$5)</f>
        <v/>
      </c>
      <c r="T97" s="18" t="str">
        <f aca="false">IF(A97="","",SUMIF(Entries!$B:$B,A97,Entries!$P:$P))</f>
        <v/>
      </c>
      <c r="U97" s="18" t="str">
        <f aca="false">IF(A97="","",SUMIF(Entries!$B:$B,A97,Entries!$Q:$Q))</f>
        <v/>
      </c>
      <c r="V97" s="18" t="str">
        <f aca="false">IF(A97="","",SUMIF(Entries!$B:$B,A97,Entries!$R:$R))</f>
        <v/>
      </c>
    </row>
    <row r="98" customFormat="false" ht="15" hidden="false" customHeight="true" outlineLevel="0" collapsed="false">
      <c r="H98" s="22"/>
      <c r="I98" s="23"/>
      <c r="J98" s="23"/>
      <c r="K98" s="18" t="str">
        <f aca="false">IF(H98="","",H98*I98*J98)</f>
        <v/>
      </c>
      <c r="L98" s="24"/>
      <c r="P98" s="5" t="str">
        <f aca="false">IF(A98="","",COUNTIF(Entries!$B:$B,A98))</f>
        <v/>
      </c>
      <c r="Q98" s="18" t="str">
        <f aca="false">IF(A98="","",SUMIF(Entries!$B:$B,A98,Entries!$J:$J))</f>
        <v/>
      </c>
      <c r="R98" s="20" t="str">
        <f aca="false">IF(OR(A98="",P98=0),"",_xlfn.MINIFS(Entries!$N:$N,Entries!$B:$B,A98))</f>
        <v/>
      </c>
      <c r="S98" s="21" t="str">
        <f aca="false">IF(R98="","",R98-Assumptions!$D$5)</f>
        <v/>
      </c>
      <c r="T98" s="18" t="str">
        <f aca="false">IF(A98="","",SUMIF(Entries!$B:$B,A98,Entries!$P:$P))</f>
        <v/>
      </c>
      <c r="U98" s="18" t="str">
        <f aca="false">IF(A98="","",SUMIF(Entries!$B:$B,A98,Entries!$Q:$Q))</f>
        <v/>
      </c>
      <c r="V98" s="18" t="str">
        <f aca="false">IF(A98="","",SUMIF(Entries!$B:$B,A98,Entries!$R:$R))</f>
        <v/>
      </c>
    </row>
    <row r="99" customFormat="false" ht="15" hidden="false" customHeight="true" outlineLevel="0" collapsed="false">
      <c r="H99" s="22"/>
      <c r="I99" s="23"/>
      <c r="J99" s="23"/>
      <c r="K99" s="18" t="str">
        <f aca="false">IF(H99="","",H99*I99*J99)</f>
        <v/>
      </c>
      <c r="L99" s="24"/>
      <c r="P99" s="5" t="str">
        <f aca="false">IF(A99="","",COUNTIF(Entries!$B:$B,A99))</f>
        <v/>
      </c>
      <c r="Q99" s="18" t="str">
        <f aca="false">IF(A99="","",SUMIF(Entries!$B:$B,A99,Entries!$J:$J))</f>
        <v/>
      </c>
      <c r="R99" s="20" t="str">
        <f aca="false">IF(OR(A99="",P99=0),"",_xlfn.MINIFS(Entries!$N:$N,Entries!$B:$B,A99))</f>
        <v/>
      </c>
      <c r="S99" s="21" t="str">
        <f aca="false">IF(R99="","",R99-Assumptions!$D$5)</f>
        <v/>
      </c>
      <c r="T99" s="18" t="str">
        <f aca="false">IF(A99="","",SUMIF(Entries!$B:$B,A99,Entries!$P:$P))</f>
        <v/>
      </c>
      <c r="U99" s="18" t="str">
        <f aca="false">IF(A99="","",SUMIF(Entries!$B:$B,A99,Entries!$Q:$Q))</f>
        <v/>
      </c>
      <c r="V99" s="18" t="str">
        <f aca="false">IF(A99="","",SUMIF(Entries!$B:$B,A99,Entries!$R:$R))</f>
        <v/>
      </c>
    </row>
    <row r="100" customFormat="false" ht="15" hidden="false" customHeight="true" outlineLevel="0" collapsed="false">
      <c r="H100" s="22"/>
      <c r="I100" s="23"/>
      <c r="J100" s="23"/>
      <c r="K100" s="18" t="str">
        <f aca="false">IF(H100="","",H100*I100*J100)</f>
        <v/>
      </c>
      <c r="L100" s="24"/>
      <c r="P100" s="5" t="str">
        <f aca="false">IF(A100="","",COUNTIF(Entries!$B:$B,A100))</f>
        <v/>
      </c>
      <c r="Q100" s="18" t="str">
        <f aca="false">IF(A100="","",SUMIF(Entries!$B:$B,A100,Entries!$J:$J))</f>
        <v/>
      </c>
      <c r="R100" s="20" t="str">
        <f aca="false">IF(OR(A100="",P100=0),"",_xlfn.MINIFS(Entries!$N:$N,Entries!$B:$B,A100))</f>
        <v/>
      </c>
      <c r="S100" s="21" t="str">
        <f aca="false">IF(R100="","",R100-Assumptions!$D$5)</f>
        <v/>
      </c>
      <c r="T100" s="18" t="str">
        <f aca="false">IF(A100="","",SUMIF(Entries!$B:$B,A100,Entries!$P:$P))</f>
        <v/>
      </c>
      <c r="U100" s="18" t="str">
        <f aca="false">IF(A100="","",SUMIF(Entries!$B:$B,A100,Entries!$Q:$Q))</f>
        <v/>
      </c>
      <c r="V100" s="18" t="str">
        <f aca="false">IF(A100="","",SUMIF(Entries!$B:$B,A100,Entries!$R:$R))</f>
        <v/>
      </c>
    </row>
    <row r="101" customFormat="false" ht="15" hidden="false" customHeight="true" outlineLevel="0" collapsed="false">
      <c r="H101" s="22"/>
      <c r="I101" s="23"/>
      <c r="J101" s="23"/>
      <c r="K101" s="18" t="str">
        <f aca="false">IF(H101="","",H101*I101*J101)</f>
        <v/>
      </c>
      <c r="L101" s="24"/>
      <c r="P101" s="5" t="str">
        <f aca="false">IF(A101="","",COUNTIF(Entries!$B:$B,A101))</f>
        <v/>
      </c>
      <c r="Q101" s="18" t="str">
        <f aca="false">IF(A101="","",SUMIF(Entries!$B:$B,A101,Entries!$J:$J))</f>
        <v/>
      </c>
      <c r="R101" s="20" t="str">
        <f aca="false">IF(OR(A101="",P101=0),"",_xlfn.MINIFS(Entries!$N:$N,Entries!$B:$B,A101))</f>
        <v/>
      </c>
      <c r="S101" s="21" t="str">
        <f aca="false">IF(R101="","",R101-Assumptions!$D$5)</f>
        <v/>
      </c>
      <c r="T101" s="18" t="str">
        <f aca="false">IF(A101="","",SUMIF(Entries!$B:$B,A101,Entries!$P:$P))</f>
        <v/>
      </c>
      <c r="U101" s="18" t="str">
        <f aca="false">IF(A101="","",SUMIF(Entries!$B:$B,A101,Entries!$Q:$Q))</f>
        <v/>
      </c>
      <c r="V101" s="18" t="str">
        <f aca="false">IF(A101="","",SUMIF(Entries!$B:$B,A101,Entries!$R:$R))</f>
        <v/>
      </c>
    </row>
    <row r="102" customFormat="false" ht="15" hidden="false" customHeight="true" outlineLevel="0" collapsed="false">
      <c r="H102" s="22"/>
      <c r="I102" s="23"/>
      <c r="J102" s="23"/>
      <c r="K102" s="18" t="str">
        <f aca="false">IF(H102="","",H102*I102*J102)</f>
        <v/>
      </c>
      <c r="L102" s="24"/>
      <c r="P102" s="5" t="str">
        <f aca="false">IF(A102="","",COUNTIF(Entries!$B:$B,A102))</f>
        <v/>
      </c>
      <c r="Q102" s="18" t="str">
        <f aca="false">IF(A102="","",SUMIF(Entries!$B:$B,A102,Entries!$J:$J))</f>
        <v/>
      </c>
      <c r="R102" s="20" t="str">
        <f aca="false">IF(OR(A102="",P102=0),"",_xlfn.MINIFS(Entries!$N:$N,Entries!$B:$B,A102))</f>
        <v/>
      </c>
      <c r="S102" s="21" t="str">
        <f aca="false">IF(R102="","",R102-Assumptions!$D$5)</f>
        <v/>
      </c>
      <c r="T102" s="18" t="str">
        <f aca="false">IF(A102="","",SUMIF(Entries!$B:$B,A102,Entries!$P:$P))</f>
        <v/>
      </c>
      <c r="U102" s="18" t="str">
        <f aca="false">IF(A102="","",SUMIF(Entries!$B:$B,A102,Entries!$Q:$Q))</f>
        <v/>
      </c>
      <c r="V102" s="18" t="str">
        <f aca="false">IF(A102="","",SUMIF(Entries!$B:$B,A102,Entries!$R:$R))</f>
        <v/>
      </c>
    </row>
    <row r="103" customFormat="false" ht="15" hidden="false" customHeight="true" outlineLevel="0" collapsed="false">
      <c r="H103" s="22"/>
      <c r="I103" s="23"/>
      <c r="J103" s="23"/>
      <c r="K103" s="18" t="str">
        <f aca="false">IF(H103="","",H103*I103*J103)</f>
        <v/>
      </c>
      <c r="L103" s="24"/>
      <c r="P103" s="5" t="str">
        <f aca="false">IF(A103="","",COUNTIF(Entries!$B:$B,A103))</f>
        <v/>
      </c>
      <c r="Q103" s="18" t="str">
        <f aca="false">IF(A103="","",SUMIF(Entries!$B:$B,A103,Entries!$J:$J))</f>
        <v/>
      </c>
      <c r="R103" s="20" t="str">
        <f aca="false">IF(OR(A103="",P103=0),"",_xlfn.MINIFS(Entries!$N:$N,Entries!$B:$B,A103))</f>
        <v/>
      </c>
      <c r="S103" s="21" t="str">
        <f aca="false">IF(R103="","",R103-Assumptions!$D$5)</f>
        <v/>
      </c>
      <c r="T103" s="18" t="str">
        <f aca="false">IF(A103="","",SUMIF(Entries!$B:$B,A103,Entries!$P:$P))</f>
        <v/>
      </c>
      <c r="U103" s="18" t="str">
        <f aca="false">IF(A103="","",SUMIF(Entries!$B:$B,A103,Entries!$Q:$Q))</f>
        <v/>
      </c>
      <c r="V103" s="18" t="str">
        <f aca="false">IF(A103="","",SUMIF(Entries!$B:$B,A103,Entries!$R:$R))</f>
        <v/>
      </c>
    </row>
    <row r="104" customFormat="false" ht="15" hidden="false" customHeight="true" outlineLevel="0" collapsed="false">
      <c r="H104" s="22"/>
      <c r="I104" s="23"/>
      <c r="J104" s="23"/>
      <c r="K104" s="18" t="str">
        <f aca="false">IF(H104="","",H104*I104*J104)</f>
        <v/>
      </c>
      <c r="L104" s="24"/>
      <c r="P104" s="5" t="str">
        <f aca="false">IF(A104="","",COUNTIF(Entries!$B:$B,A104))</f>
        <v/>
      </c>
      <c r="Q104" s="18" t="str">
        <f aca="false">IF(A104="","",SUMIF(Entries!$B:$B,A104,Entries!$J:$J))</f>
        <v/>
      </c>
      <c r="R104" s="20" t="str">
        <f aca="false">IF(OR(A104="",P104=0),"",_xlfn.MINIFS(Entries!$N:$N,Entries!$B:$B,A104))</f>
        <v/>
      </c>
      <c r="S104" s="21" t="str">
        <f aca="false">IF(R104="","",R104-Assumptions!$D$5)</f>
        <v/>
      </c>
      <c r="T104" s="18" t="str">
        <f aca="false">IF(A104="","",SUMIF(Entries!$B:$B,A104,Entries!$P:$P))</f>
        <v/>
      </c>
      <c r="U104" s="18" t="str">
        <f aca="false">IF(A104="","",SUMIF(Entries!$B:$B,A104,Entries!$Q:$Q))</f>
        <v/>
      </c>
      <c r="V104" s="18" t="str">
        <f aca="false">IF(A104="","",SUMIF(Entries!$B:$B,A104,Entries!$R:$R))</f>
        <v/>
      </c>
    </row>
    <row r="105" customFormat="false" ht="15" hidden="false" customHeight="true" outlineLevel="0" collapsed="false">
      <c r="H105" s="22"/>
      <c r="I105" s="23"/>
      <c r="J105" s="23"/>
      <c r="K105" s="18" t="str">
        <f aca="false">IF(H105="","",H105*I105*J105)</f>
        <v/>
      </c>
      <c r="L105" s="24"/>
      <c r="P105" s="5" t="str">
        <f aca="false">IF(A105="","",COUNTIF(Entries!$B:$B,A105))</f>
        <v/>
      </c>
      <c r="Q105" s="18" t="str">
        <f aca="false">IF(A105="","",SUMIF(Entries!$B:$B,A105,Entries!$J:$J))</f>
        <v/>
      </c>
      <c r="R105" s="20" t="str">
        <f aca="false">IF(OR(A105="",P105=0),"",_xlfn.MINIFS(Entries!$N:$N,Entries!$B:$B,A105))</f>
        <v/>
      </c>
      <c r="S105" s="21" t="str">
        <f aca="false">IF(R105="","",R105-Assumptions!$D$5)</f>
        <v/>
      </c>
      <c r="T105" s="18" t="str">
        <f aca="false">IF(A105="","",SUMIF(Entries!$B:$B,A105,Entries!$P:$P))</f>
        <v/>
      </c>
      <c r="U105" s="18" t="str">
        <f aca="false">IF(A105="","",SUMIF(Entries!$B:$B,A105,Entries!$Q:$Q))</f>
        <v/>
      </c>
      <c r="V105" s="18" t="str">
        <f aca="false">IF(A105="","",SUMIF(Entries!$B:$B,A105,Entries!$R:$R))</f>
        <v/>
      </c>
    </row>
    <row r="106" customFormat="false" ht="15" hidden="false" customHeight="true" outlineLevel="0" collapsed="false">
      <c r="H106" s="22"/>
      <c r="I106" s="23"/>
      <c r="J106" s="23"/>
      <c r="K106" s="18" t="str">
        <f aca="false">IF(H106="","",H106*I106*J106)</f>
        <v/>
      </c>
      <c r="L106" s="24"/>
      <c r="P106" s="5" t="str">
        <f aca="false">IF(A106="","",COUNTIF(Entries!$B:$B,A106))</f>
        <v/>
      </c>
      <c r="Q106" s="18" t="str">
        <f aca="false">IF(A106="","",SUMIF(Entries!$B:$B,A106,Entries!$J:$J))</f>
        <v/>
      </c>
      <c r="R106" s="20" t="str">
        <f aca="false">IF(OR(A106="",P106=0),"",_xlfn.MINIFS(Entries!$N:$N,Entries!$B:$B,A106))</f>
        <v/>
      </c>
      <c r="S106" s="21" t="str">
        <f aca="false">IF(R106="","",R106-Assumptions!$D$5)</f>
        <v/>
      </c>
      <c r="T106" s="18" t="str">
        <f aca="false">IF(A106="","",SUMIF(Entries!$B:$B,A106,Entries!$P:$P))</f>
        <v/>
      </c>
      <c r="U106" s="18" t="str">
        <f aca="false">IF(A106="","",SUMIF(Entries!$B:$B,A106,Entries!$Q:$Q))</f>
        <v/>
      </c>
      <c r="V106" s="18" t="str">
        <f aca="false">IF(A106="","",SUMIF(Entries!$B:$B,A106,Entries!$R:$R))</f>
        <v/>
      </c>
    </row>
    <row r="107" customFormat="false" ht="15" hidden="false" customHeight="true" outlineLevel="0" collapsed="false">
      <c r="H107" s="22"/>
      <c r="I107" s="23"/>
      <c r="J107" s="23"/>
      <c r="K107" s="18" t="str">
        <f aca="false">IF(H107="","",H107*I107*J107)</f>
        <v/>
      </c>
      <c r="L107" s="24"/>
      <c r="P107" s="5" t="str">
        <f aca="false">IF(A107="","",COUNTIF(Entries!$B:$B,A107))</f>
        <v/>
      </c>
      <c r="Q107" s="18" t="str">
        <f aca="false">IF(A107="","",SUMIF(Entries!$B:$B,A107,Entries!$J:$J))</f>
        <v/>
      </c>
      <c r="R107" s="20" t="str">
        <f aca="false">IF(OR(A107="",P107=0),"",_xlfn.MINIFS(Entries!$N:$N,Entries!$B:$B,A107))</f>
        <v/>
      </c>
      <c r="S107" s="21" t="str">
        <f aca="false">IF(R107="","",R107-Assumptions!$D$5)</f>
        <v/>
      </c>
      <c r="T107" s="18" t="str">
        <f aca="false">IF(A107="","",SUMIF(Entries!$B:$B,A107,Entries!$P:$P))</f>
        <v/>
      </c>
      <c r="U107" s="18" t="str">
        <f aca="false">IF(A107="","",SUMIF(Entries!$B:$B,A107,Entries!$Q:$Q))</f>
        <v/>
      </c>
      <c r="V107" s="18" t="str">
        <f aca="false">IF(A107="","",SUMIF(Entries!$B:$B,A107,Entries!$R:$R))</f>
        <v/>
      </c>
    </row>
    <row r="108" customFormat="false" ht="15" hidden="false" customHeight="true" outlineLevel="0" collapsed="false">
      <c r="H108" s="22"/>
      <c r="I108" s="23"/>
      <c r="J108" s="23"/>
      <c r="K108" s="18" t="str">
        <f aca="false">IF(H108="","",H108*I108*J108)</f>
        <v/>
      </c>
      <c r="L108" s="24"/>
      <c r="P108" s="5" t="str">
        <f aca="false">IF(A108="","",COUNTIF(Entries!$B:$B,A108))</f>
        <v/>
      </c>
      <c r="Q108" s="18" t="str">
        <f aca="false">IF(A108="","",SUMIF(Entries!$B:$B,A108,Entries!$J:$J))</f>
        <v/>
      </c>
      <c r="R108" s="20" t="str">
        <f aca="false">IF(OR(A108="",P108=0),"",_xlfn.MINIFS(Entries!$N:$N,Entries!$B:$B,A108))</f>
        <v/>
      </c>
      <c r="S108" s="21" t="str">
        <f aca="false">IF(R108="","",R108-Assumptions!$D$5)</f>
        <v/>
      </c>
      <c r="T108" s="18" t="str">
        <f aca="false">IF(A108="","",SUMIF(Entries!$B:$B,A108,Entries!$P:$P))</f>
        <v/>
      </c>
      <c r="U108" s="18" t="str">
        <f aca="false">IF(A108="","",SUMIF(Entries!$B:$B,A108,Entries!$Q:$Q))</f>
        <v/>
      </c>
      <c r="V108" s="18" t="str">
        <f aca="false">IF(A108="","",SUMIF(Entries!$B:$B,A108,Entries!$R:$R))</f>
        <v/>
      </c>
    </row>
    <row r="109" customFormat="false" ht="15" hidden="false" customHeight="true" outlineLevel="0" collapsed="false">
      <c r="H109" s="22"/>
      <c r="I109" s="23"/>
      <c r="J109" s="23"/>
      <c r="K109" s="18" t="str">
        <f aca="false">IF(H109="","",H109*I109*J109)</f>
        <v/>
      </c>
      <c r="L109" s="24"/>
      <c r="P109" s="5" t="str">
        <f aca="false">IF(A109="","",COUNTIF(Entries!$B:$B,A109))</f>
        <v/>
      </c>
      <c r="Q109" s="18" t="str">
        <f aca="false">IF(A109="","",SUMIF(Entries!$B:$B,A109,Entries!$J:$J))</f>
        <v/>
      </c>
      <c r="R109" s="20" t="str">
        <f aca="false">IF(OR(A109="",P109=0),"",_xlfn.MINIFS(Entries!$N:$N,Entries!$B:$B,A109))</f>
        <v/>
      </c>
      <c r="S109" s="21" t="str">
        <f aca="false">IF(R109="","",R109-Assumptions!$D$5)</f>
        <v/>
      </c>
      <c r="T109" s="18" t="str">
        <f aca="false">IF(A109="","",SUMIF(Entries!$B:$B,A109,Entries!$P:$P))</f>
        <v/>
      </c>
      <c r="U109" s="18" t="str">
        <f aca="false">IF(A109="","",SUMIF(Entries!$B:$B,A109,Entries!$Q:$Q))</f>
        <v/>
      </c>
      <c r="V109" s="18" t="str">
        <f aca="false">IF(A109="","",SUMIF(Entries!$B:$B,A109,Entries!$R:$R))</f>
        <v/>
      </c>
    </row>
    <row r="110" customFormat="false" ht="15" hidden="false" customHeight="true" outlineLevel="0" collapsed="false">
      <c r="H110" s="22"/>
      <c r="I110" s="23"/>
      <c r="J110" s="23"/>
      <c r="K110" s="18" t="str">
        <f aca="false">IF(H110="","",H110*I110*J110)</f>
        <v/>
      </c>
      <c r="L110" s="24"/>
      <c r="P110" s="5" t="str">
        <f aca="false">IF(A110="","",COUNTIF(Entries!$B:$B,A110))</f>
        <v/>
      </c>
      <c r="Q110" s="18" t="str">
        <f aca="false">IF(A110="","",SUMIF(Entries!$B:$B,A110,Entries!$J:$J))</f>
        <v/>
      </c>
      <c r="R110" s="20" t="str">
        <f aca="false">IF(OR(A110="",P110=0),"",_xlfn.MINIFS(Entries!$N:$N,Entries!$B:$B,A110))</f>
        <v/>
      </c>
      <c r="S110" s="21" t="str">
        <f aca="false">IF(R110="","",R110-Assumptions!$D$5)</f>
        <v/>
      </c>
      <c r="T110" s="18" t="str">
        <f aca="false">IF(A110="","",SUMIF(Entries!$B:$B,A110,Entries!$P:$P))</f>
        <v/>
      </c>
      <c r="U110" s="18" t="str">
        <f aca="false">IF(A110="","",SUMIF(Entries!$B:$B,A110,Entries!$Q:$Q))</f>
        <v/>
      </c>
      <c r="V110" s="18" t="str">
        <f aca="false">IF(A110="","",SUMIF(Entries!$B:$B,A110,Entries!$R:$R))</f>
        <v/>
      </c>
    </row>
    <row r="111" customFormat="false" ht="15" hidden="false" customHeight="true" outlineLevel="0" collapsed="false">
      <c r="H111" s="22"/>
      <c r="I111" s="23"/>
      <c r="J111" s="23"/>
      <c r="K111" s="18" t="str">
        <f aca="false">IF(H111="","",H111*I111*J111)</f>
        <v/>
      </c>
      <c r="L111" s="24"/>
      <c r="P111" s="5" t="str">
        <f aca="false">IF(A111="","",COUNTIF(Entries!$B:$B,A111))</f>
        <v/>
      </c>
      <c r="Q111" s="18" t="str">
        <f aca="false">IF(A111="","",SUMIF(Entries!$B:$B,A111,Entries!$J:$J))</f>
        <v/>
      </c>
      <c r="R111" s="20" t="str">
        <f aca="false">IF(OR(A111="",P111=0),"",_xlfn.MINIFS(Entries!$N:$N,Entries!$B:$B,A111))</f>
        <v/>
      </c>
      <c r="S111" s="21" t="str">
        <f aca="false">IF(R111="","",R111-Assumptions!$D$5)</f>
        <v/>
      </c>
      <c r="T111" s="18" t="str">
        <f aca="false">IF(A111="","",SUMIF(Entries!$B:$B,A111,Entries!$P:$P))</f>
        <v/>
      </c>
      <c r="U111" s="18" t="str">
        <f aca="false">IF(A111="","",SUMIF(Entries!$B:$B,A111,Entries!$Q:$Q))</f>
        <v/>
      </c>
      <c r="V111" s="18" t="str">
        <f aca="false">IF(A111="","",SUMIF(Entries!$B:$B,A111,Entries!$R:$R))</f>
        <v/>
      </c>
    </row>
    <row r="112" customFormat="false" ht="15" hidden="false" customHeight="true" outlineLevel="0" collapsed="false">
      <c r="H112" s="22"/>
      <c r="I112" s="23"/>
      <c r="J112" s="23"/>
      <c r="K112" s="18" t="str">
        <f aca="false">IF(H112="","",H112*I112*J112)</f>
        <v/>
      </c>
      <c r="L112" s="24"/>
      <c r="P112" s="5" t="str">
        <f aca="false">IF(A112="","",COUNTIF(Entries!$B:$B,A112))</f>
        <v/>
      </c>
      <c r="Q112" s="18" t="str">
        <f aca="false">IF(A112="","",SUMIF(Entries!$B:$B,A112,Entries!$J:$J))</f>
        <v/>
      </c>
      <c r="R112" s="20" t="str">
        <f aca="false">IF(OR(A112="",P112=0),"",_xlfn.MINIFS(Entries!$N:$N,Entries!$B:$B,A112))</f>
        <v/>
      </c>
      <c r="S112" s="21" t="str">
        <f aca="false">IF(R112="","",R112-Assumptions!$D$5)</f>
        <v/>
      </c>
      <c r="T112" s="18" t="str">
        <f aca="false">IF(A112="","",SUMIF(Entries!$B:$B,A112,Entries!$P:$P))</f>
        <v/>
      </c>
      <c r="U112" s="18" t="str">
        <f aca="false">IF(A112="","",SUMIF(Entries!$B:$B,A112,Entries!$Q:$Q))</f>
        <v/>
      </c>
      <c r="V112" s="18" t="str">
        <f aca="false">IF(A112="","",SUMIF(Entries!$B:$B,A112,Entries!$R:$R))</f>
        <v/>
      </c>
    </row>
    <row r="113" customFormat="false" ht="15" hidden="false" customHeight="true" outlineLevel="0" collapsed="false">
      <c r="H113" s="22"/>
      <c r="I113" s="23"/>
      <c r="J113" s="23"/>
      <c r="K113" s="18" t="str">
        <f aca="false">IF(H113="","",H113*I113*J113)</f>
        <v/>
      </c>
      <c r="L113" s="24"/>
      <c r="P113" s="5" t="str">
        <f aca="false">IF(A113="","",COUNTIF(Entries!$B:$B,A113))</f>
        <v/>
      </c>
      <c r="Q113" s="18" t="str">
        <f aca="false">IF(A113="","",SUMIF(Entries!$B:$B,A113,Entries!$J:$J))</f>
        <v/>
      </c>
      <c r="R113" s="20" t="str">
        <f aca="false">IF(OR(A113="",P113=0),"",_xlfn.MINIFS(Entries!$N:$N,Entries!$B:$B,A113))</f>
        <v/>
      </c>
      <c r="S113" s="21" t="str">
        <f aca="false">IF(R113="","",R113-Assumptions!$D$5)</f>
        <v/>
      </c>
      <c r="T113" s="18" t="str">
        <f aca="false">IF(A113="","",SUMIF(Entries!$B:$B,A113,Entries!$P:$P))</f>
        <v/>
      </c>
      <c r="U113" s="18" t="str">
        <f aca="false">IF(A113="","",SUMIF(Entries!$B:$B,A113,Entries!$Q:$Q))</f>
        <v/>
      </c>
      <c r="V113" s="18" t="str">
        <f aca="false">IF(A113="","",SUMIF(Entries!$B:$B,A113,Entries!$R:$R))</f>
        <v/>
      </c>
    </row>
    <row r="114" customFormat="false" ht="15" hidden="false" customHeight="true" outlineLevel="0" collapsed="false">
      <c r="H114" s="22"/>
      <c r="I114" s="23"/>
      <c r="J114" s="23"/>
      <c r="K114" s="18" t="str">
        <f aca="false">IF(H114="","",H114*I114*J114)</f>
        <v/>
      </c>
      <c r="L114" s="24"/>
      <c r="P114" s="5" t="str">
        <f aca="false">IF(A114="","",COUNTIF(Entries!$B:$B,A114))</f>
        <v/>
      </c>
      <c r="Q114" s="18" t="str">
        <f aca="false">IF(A114="","",SUMIF(Entries!$B:$B,A114,Entries!$J:$J))</f>
        <v/>
      </c>
      <c r="R114" s="20" t="str">
        <f aca="false">IF(OR(A114="",P114=0),"",_xlfn.MINIFS(Entries!$N:$N,Entries!$B:$B,A114))</f>
        <v/>
      </c>
      <c r="S114" s="21" t="str">
        <f aca="false">IF(R114="","",R114-Assumptions!$D$5)</f>
        <v/>
      </c>
      <c r="T114" s="18" t="str">
        <f aca="false">IF(A114="","",SUMIF(Entries!$B:$B,A114,Entries!$P:$P))</f>
        <v/>
      </c>
      <c r="U114" s="18" t="str">
        <f aca="false">IF(A114="","",SUMIF(Entries!$B:$B,A114,Entries!$Q:$Q))</f>
        <v/>
      </c>
      <c r="V114" s="18" t="str">
        <f aca="false">IF(A114="","",SUMIF(Entries!$B:$B,A114,Entries!$R:$R))</f>
        <v/>
      </c>
    </row>
    <row r="115" customFormat="false" ht="15" hidden="false" customHeight="true" outlineLevel="0" collapsed="false">
      <c r="H115" s="22"/>
      <c r="I115" s="23"/>
      <c r="J115" s="23"/>
      <c r="K115" s="18" t="str">
        <f aca="false">IF(H115="","",H115*I115*J115)</f>
        <v/>
      </c>
      <c r="L115" s="24"/>
      <c r="P115" s="5" t="str">
        <f aca="false">IF(A115="","",COUNTIF(Entries!$B:$B,A115))</f>
        <v/>
      </c>
      <c r="Q115" s="18" t="str">
        <f aca="false">IF(A115="","",SUMIF(Entries!$B:$B,A115,Entries!$J:$J))</f>
        <v/>
      </c>
      <c r="R115" s="20" t="str">
        <f aca="false">IF(OR(A115="",P115=0),"",_xlfn.MINIFS(Entries!$N:$N,Entries!$B:$B,A115))</f>
        <v/>
      </c>
      <c r="S115" s="21" t="str">
        <f aca="false">IF(R115="","",R115-Assumptions!$D$5)</f>
        <v/>
      </c>
      <c r="T115" s="18" t="str">
        <f aca="false">IF(A115="","",SUMIF(Entries!$B:$B,A115,Entries!$P:$P))</f>
        <v/>
      </c>
      <c r="U115" s="18" t="str">
        <f aca="false">IF(A115="","",SUMIF(Entries!$B:$B,A115,Entries!$Q:$Q))</f>
        <v/>
      </c>
      <c r="V115" s="18" t="str">
        <f aca="false">IF(A115="","",SUMIF(Entries!$B:$B,A115,Entries!$R:$R))</f>
        <v/>
      </c>
    </row>
    <row r="116" customFormat="false" ht="15" hidden="false" customHeight="true" outlineLevel="0" collapsed="false">
      <c r="H116" s="22"/>
      <c r="I116" s="23"/>
      <c r="J116" s="23"/>
      <c r="K116" s="18" t="str">
        <f aca="false">IF(H116="","",H116*I116*J116)</f>
        <v/>
      </c>
      <c r="L116" s="24"/>
      <c r="P116" s="5" t="str">
        <f aca="false">IF(A116="","",COUNTIF(Entries!$B:$B,A116))</f>
        <v/>
      </c>
      <c r="Q116" s="18" t="str">
        <f aca="false">IF(A116="","",SUMIF(Entries!$B:$B,A116,Entries!$J:$J))</f>
        <v/>
      </c>
      <c r="R116" s="20" t="str">
        <f aca="false">IF(OR(A116="",P116=0),"",_xlfn.MINIFS(Entries!$N:$N,Entries!$B:$B,A116))</f>
        <v/>
      </c>
      <c r="S116" s="21" t="str">
        <f aca="false">IF(R116="","",R116-Assumptions!$D$5)</f>
        <v/>
      </c>
      <c r="T116" s="18" t="str">
        <f aca="false">IF(A116="","",SUMIF(Entries!$B:$B,A116,Entries!$P:$P))</f>
        <v/>
      </c>
      <c r="U116" s="18" t="str">
        <f aca="false">IF(A116="","",SUMIF(Entries!$B:$B,A116,Entries!$Q:$Q))</f>
        <v/>
      </c>
      <c r="V116" s="18" t="str">
        <f aca="false">IF(A116="","",SUMIF(Entries!$B:$B,A116,Entries!$R:$R))</f>
        <v/>
      </c>
    </row>
    <row r="117" customFormat="false" ht="15" hidden="false" customHeight="true" outlineLevel="0" collapsed="false">
      <c r="H117" s="22"/>
      <c r="I117" s="23"/>
      <c r="J117" s="23"/>
      <c r="K117" s="18" t="str">
        <f aca="false">IF(H117="","",H117*I117*J117)</f>
        <v/>
      </c>
      <c r="L117" s="24"/>
      <c r="P117" s="5" t="str">
        <f aca="false">IF(A117="","",COUNTIF(Entries!$B:$B,A117))</f>
        <v/>
      </c>
      <c r="Q117" s="18" t="str">
        <f aca="false">IF(A117="","",SUMIF(Entries!$B:$B,A117,Entries!$J:$J))</f>
        <v/>
      </c>
      <c r="R117" s="20" t="str">
        <f aca="false">IF(OR(A117="",P117=0),"",_xlfn.MINIFS(Entries!$N:$N,Entries!$B:$B,A117))</f>
        <v/>
      </c>
      <c r="S117" s="21" t="str">
        <f aca="false">IF(R117="","",R117-Assumptions!$D$5)</f>
        <v/>
      </c>
      <c r="T117" s="18" t="str">
        <f aca="false">IF(A117="","",SUMIF(Entries!$B:$B,A117,Entries!$P:$P))</f>
        <v/>
      </c>
      <c r="U117" s="18" t="str">
        <f aca="false">IF(A117="","",SUMIF(Entries!$B:$B,A117,Entries!$Q:$Q))</f>
        <v/>
      </c>
      <c r="V117" s="18" t="str">
        <f aca="false">IF(A117="","",SUMIF(Entries!$B:$B,A117,Entries!$R:$R))</f>
        <v/>
      </c>
    </row>
    <row r="118" customFormat="false" ht="15" hidden="false" customHeight="true" outlineLevel="0" collapsed="false">
      <c r="H118" s="22"/>
      <c r="I118" s="23"/>
      <c r="J118" s="23"/>
      <c r="K118" s="18" t="str">
        <f aca="false">IF(H118="","",H118*I118*J118)</f>
        <v/>
      </c>
      <c r="L118" s="24"/>
      <c r="P118" s="5" t="str">
        <f aca="false">IF(A118="","",COUNTIF(Entries!$B:$B,A118))</f>
        <v/>
      </c>
      <c r="Q118" s="18" t="str">
        <f aca="false">IF(A118="","",SUMIF(Entries!$B:$B,A118,Entries!$J:$J))</f>
        <v/>
      </c>
      <c r="R118" s="20" t="str">
        <f aca="false">IF(OR(A118="",P118=0),"",_xlfn.MINIFS(Entries!$N:$N,Entries!$B:$B,A118))</f>
        <v/>
      </c>
      <c r="S118" s="21" t="str">
        <f aca="false">IF(R118="","",R118-Assumptions!$D$5)</f>
        <v/>
      </c>
      <c r="T118" s="18" t="str">
        <f aca="false">IF(A118="","",SUMIF(Entries!$B:$B,A118,Entries!$P:$P))</f>
        <v/>
      </c>
      <c r="U118" s="18" t="str">
        <f aca="false">IF(A118="","",SUMIF(Entries!$B:$B,A118,Entries!$Q:$Q))</f>
        <v/>
      </c>
      <c r="V118" s="18" t="str">
        <f aca="false">IF(A118="","",SUMIF(Entries!$B:$B,A118,Entries!$R:$R))</f>
        <v/>
      </c>
    </row>
    <row r="119" customFormat="false" ht="15" hidden="false" customHeight="true" outlineLevel="0" collapsed="false">
      <c r="H119" s="22"/>
      <c r="I119" s="23"/>
      <c r="J119" s="23"/>
      <c r="K119" s="18" t="str">
        <f aca="false">IF(H119="","",H119*I119*J119)</f>
        <v/>
      </c>
      <c r="L119" s="24"/>
      <c r="P119" s="5" t="str">
        <f aca="false">IF(A119="","",COUNTIF(Entries!$B:$B,A119))</f>
        <v/>
      </c>
      <c r="Q119" s="18" t="str">
        <f aca="false">IF(A119="","",SUMIF(Entries!$B:$B,A119,Entries!$J:$J))</f>
        <v/>
      </c>
      <c r="R119" s="20" t="str">
        <f aca="false">IF(OR(A119="",P119=0),"",_xlfn.MINIFS(Entries!$N:$N,Entries!$B:$B,A119))</f>
        <v/>
      </c>
      <c r="S119" s="21" t="str">
        <f aca="false">IF(R119="","",R119-Assumptions!$D$5)</f>
        <v/>
      </c>
      <c r="T119" s="18" t="str">
        <f aca="false">IF(A119="","",SUMIF(Entries!$B:$B,A119,Entries!$P:$P))</f>
        <v/>
      </c>
      <c r="U119" s="18" t="str">
        <f aca="false">IF(A119="","",SUMIF(Entries!$B:$B,A119,Entries!$Q:$Q))</f>
        <v/>
      </c>
      <c r="V119" s="18" t="str">
        <f aca="false">IF(A119="","",SUMIF(Entries!$B:$B,A119,Entries!$R:$R))</f>
        <v/>
      </c>
    </row>
    <row r="120" customFormat="false" ht="15" hidden="false" customHeight="true" outlineLevel="0" collapsed="false">
      <c r="H120" s="22"/>
      <c r="I120" s="23"/>
      <c r="J120" s="23"/>
      <c r="K120" s="18" t="str">
        <f aca="false">IF(H120="","",H120*I120*J120)</f>
        <v/>
      </c>
      <c r="L120" s="24"/>
      <c r="P120" s="5" t="str">
        <f aca="false">IF(A120="","",COUNTIF(Entries!$B:$B,A120))</f>
        <v/>
      </c>
      <c r="Q120" s="18" t="str">
        <f aca="false">IF(A120="","",SUMIF(Entries!$B:$B,A120,Entries!$J:$J))</f>
        <v/>
      </c>
      <c r="R120" s="20" t="str">
        <f aca="false">IF(OR(A120="",P120=0),"",_xlfn.MINIFS(Entries!$N:$N,Entries!$B:$B,A120))</f>
        <v/>
      </c>
      <c r="S120" s="21" t="str">
        <f aca="false">IF(R120="","",R120-Assumptions!$D$5)</f>
        <v/>
      </c>
      <c r="T120" s="18" t="str">
        <f aca="false">IF(A120="","",SUMIF(Entries!$B:$B,A120,Entries!$P:$P))</f>
        <v/>
      </c>
      <c r="U120" s="18" t="str">
        <f aca="false">IF(A120="","",SUMIF(Entries!$B:$B,A120,Entries!$Q:$Q))</f>
        <v/>
      </c>
      <c r="V120" s="18" t="str">
        <f aca="false">IF(A120="","",SUMIF(Entries!$B:$B,A120,Entries!$R:$R))</f>
        <v/>
      </c>
    </row>
    <row r="121" customFormat="false" ht="15" hidden="false" customHeight="true" outlineLevel="0" collapsed="false">
      <c r="H121" s="22"/>
      <c r="I121" s="23"/>
      <c r="J121" s="23"/>
      <c r="K121" s="18" t="str">
        <f aca="false">IF(H121="","",H121*I121*J121)</f>
        <v/>
      </c>
      <c r="L121" s="24"/>
      <c r="P121" s="5" t="str">
        <f aca="false">IF(A121="","",COUNTIF(Entries!$B:$B,A121))</f>
        <v/>
      </c>
      <c r="Q121" s="18" t="str">
        <f aca="false">IF(A121="","",SUMIF(Entries!$B:$B,A121,Entries!$J:$J))</f>
        <v/>
      </c>
      <c r="R121" s="20" t="str">
        <f aca="false">IF(OR(A121="",P121=0),"",_xlfn.MINIFS(Entries!$N:$N,Entries!$B:$B,A121))</f>
        <v/>
      </c>
      <c r="S121" s="21" t="str">
        <f aca="false">IF(R121="","",R121-Assumptions!$D$5)</f>
        <v/>
      </c>
      <c r="T121" s="18" t="str">
        <f aca="false">IF(A121="","",SUMIF(Entries!$B:$B,A121,Entries!$P:$P))</f>
        <v/>
      </c>
      <c r="U121" s="18" t="str">
        <f aca="false">IF(A121="","",SUMIF(Entries!$B:$B,A121,Entries!$Q:$Q))</f>
        <v/>
      </c>
      <c r="V121" s="18" t="str">
        <f aca="false">IF(A121="","",SUMIF(Entries!$B:$B,A121,Entries!$R:$R))</f>
        <v/>
      </c>
    </row>
    <row r="122" customFormat="false" ht="15" hidden="false" customHeight="true" outlineLevel="0" collapsed="false">
      <c r="H122" s="22"/>
      <c r="I122" s="23"/>
      <c r="J122" s="23"/>
      <c r="K122" s="18" t="str">
        <f aca="false">IF(H122="","",H122*I122*J122)</f>
        <v/>
      </c>
      <c r="L122" s="24"/>
      <c r="P122" s="5" t="str">
        <f aca="false">IF(A122="","",COUNTIF(Entries!$B:$B,A122))</f>
        <v/>
      </c>
      <c r="Q122" s="18" t="str">
        <f aca="false">IF(A122="","",SUMIF(Entries!$B:$B,A122,Entries!$J:$J))</f>
        <v/>
      </c>
      <c r="R122" s="20" t="str">
        <f aca="false">IF(OR(A122="",P122=0),"",_xlfn.MINIFS(Entries!$N:$N,Entries!$B:$B,A122))</f>
        <v/>
      </c>
      <c r="S122" s="21" t="str">
        <f aca="false">IF(R122="","",R122-Assumptions!$D$5)</f>
        <v/>
      </c>
      <c r="T122" s="18" t="str">
        <f aca="false">IF(A122="","",SUMIF(Entries!$B:$B,A122,Entries!$P:$P))</f>
        <v/>
      </c>
      <c r="U122" s="18" t="str">
        <f aca="false">IF(A122="","",SUMIF(Entries!$B:$B,A122,Entries!$Q:$Q))</f>
        <v/>
      </c>
      <c r="V122" s="18" t="str">
        <f aca="false">IF(A122="","",SUMIF(Entries!$B:$B,A122,Entries!$R:$R))</f>
        <v/>
      </c>
    </row>
    <row r="123" customFormat="false" ht="15" hidden="false" customHeight="true" outlineLevel="0" collapsed="false">
      <c r="H123" s="22"/>
      <c r="I123" s="23"/>
      <c r="J123" s="23"/>
      <c r="K123" s="18" t="str">
        <f aca="false">IF(H123="","",H123*I123*J123)</f>
        <v/>
      </c>
      <c r="L123" s="24"/>
      <c r="P123" s="5" t="str">
        <f aca="false">IF(A123="","",COUNTIF(Entries!$B:$B,A123))</f>
        <v/>
      </c>
      <c r="Q123" s="18" t="str">
        <f aca="false">IF(A123="","",SUMIF(Entries!$B:$B,A123,Entries!$J:$J))</f>
        <v/>
      </c>
      <c r="R123" s="20" t="str">
        <f aca="false">IF(OR(A123="",P123=0),"",_xlfn.MINIFS(Entries!$N:$N,Entries!$B:$B,A123))</f>
        <v/>
      </c>
      <c r="S123" s="21" t="str">
        <f aca="false">IF(R123="","",R123-Assumptions!$D$5)</f>
        <v/>
      </c>
      <c r="T123" s="18" t="str">
        <f aca="false">IF(A123="","",SUMIF(Entries!$B:$B,A123,Entries!$P:$P))</f>
        <v/>
      </c>
      <c r="U123" s="18" t="str">
        <f aca="false">IF(A123="","",SUMIF(Entries!$B:$B,A123,Entries!$Q:$Q))</f>
        <v/>
      </c>
      <c r="V123" s="18" t="str">
        <f aca="false">IF(A123="","",SUMIF(Entries!$B:$B,A123,Entries!$R:$R))</f>
        <v/>
      </c>
    </row>
    <row r="124" customFormat="false" ht="15" hidden="false" customHeight="true" outlineLevel="0" collapsed="false">
      <c r="H124" s="22"/>
      <c r="I124" s="23"/>
      <c r="J124" s="23"/>
      <c r="K124" s="18" t="str">
        <f aca="false">IF(H124="","",H124*I124*J124)</f>
        <v/>
      </c>
      <c r="L124" s="24"/>
      <c r="P124" s="5" t="str">
        <f aca="false">IF(A124="","",COUNTIF(Entries!$B:$B,A124))</f>
        <v/>
      </c>
      <c r="Q124" s="18" t="str">
        <f aca="false">IF(A124="","",SUMIF(Entries!$B:$B,A124,Entries!$J:$J))</f>
        <v/>
      </c>
      <c r="R124" s="20" t="str">
        <f aca="false">IF(OR(A124="",P124=0),"",_xlfn.MINIFS(Entries!$N:$N,Entries!$B:$B,A124))</f>
        <v/>
      </c>
      <c r="S124" s="21" t="str">
        <f aca="false">IF(R124="","",R124-Assumptions!$D$5)</f>
        <v/>
      </c>
      <c r="T124" s="18" t="str">
        <f aca="false">IF(A124="","",SUMIF(Entries!$B:$B,A124,Entries!$P:$P))</f>
        <v/>
      </c>
      <c r="U124" s="18" t="str">
        <f aca="false">IF(A124="","",SUMIF(Entries!$B:$B,A124,Entries!$Q:$Q))</f>
        <v/>
      </c>
      <c r="V124" s="18" t="str">
        <f aca="false">IF(A124="","",SUMIF(Entries!$B:$B,A124,Entries!$R:$R))</f>
        <v/>
      </c>
    </row>
    <row r="125" customFormat="false" ht="15" hidden="false" customHeight="true" outlineLevel="0" collapsed="false">
      <c r="H125" s="22"/>
      <c r="I125" s="23"/>
      <c r="J125" s="23"/>
      <c r="K125" s="18" t="str">
        <f aca="false">IF(H125="","",H125*I125*J125)</f>
        <v/>
      </c>
      <c r="L125" s="24"/>
      <c r="P125" s="5" t="str">
        <f aca="false">IF(A125="","",COUNTIF(Entries!$B:$B,A125))</f>
        <v/>
      </c>
      <c r="Q125" s="18" t="str">
        <f aca="false">IF(A125="","",SUMIF(Entries!$B:$B,A125,Entries!$J:$J))</f>
        <v/>
      </c>
      <c r="R125" s="20" t="str">
        <f aca="false">IF(OR(A125="",P125=0),"",_xlfn.MINIFS(Entries!$N:$N,Entries!$B:$B,A125))</f>
        <v/>
      </c>
      <c r="S125" s="21" t="str">
        <f aca="false">IF(R125="","",R125-Assumptions!$D$5)</f>
        <v/>
      </c>
      <c r="T125" s="18" t="str">
        <f aca="false">IF(A125="","",SUMIF(Entries!$B:$B,A125,Entries!$P:$P))</f>
        <v/>
      </c>
      <c r="U125" s="18" t="str">
        <f aca="false">IF(A125="","",SUMIF(Entries!$B:$B,A125,Entries!$Q:$Q))</f>
        <v/>
      </c>
      <c r="V125" s="18" t="str">
        <f aca="false">IF(A125="","",SUMIF(Entries!$B:$B,A125,Entries!$R:$R))</f>
        <v/>
      </c>
    </row>
    <row r="126" customFormat="false" ht="15" hidden="false" customHeight="true" outlineLevel="0" collapsed="false">
      <c r="H126" s="22"/>
      <c r="I126" s="23"/>
      <c r="J126" s="23"/>
      <c r="K126" s="18" t="str">
        <f aca="false">IF(H126="","",H126*I126*J126)</f>
        <v/>
      </c>
      <c r="L126" s="24"/>
      <c r="P126" s="5" t="str">
        <f aca="false">IF(A126="","",COUNTIF(Entries!$B:$B,A126))</f>
        <v/>
      </c>
      <c r="Q126" s="18" t="str">
        <f aca="false">IF(A126="","",SUMIF(Entries!$B:$B,A126,Entries!$J:$J))</f>
        <v/>
      </c>
      <c r="R126" s="20" t="str">
        <f aca="false">IF(OR(A126="",P126=0),"",_xlfn.MINIFS(Entries!$N:$N,Entries!$B:$B,A126))</f>
        <v/>
      </c>
      <c r="S126" s="21" t="str">
        <f aca="false">IF(R126="","",R126-Assumptions!$D$5)</f>
        <v/>
      </c>
      <c r="T126" s="18" t="str">
        <f aca="false">IF(A126="","",SUMIF(Entries!$B:$B,A126,Entries!$P:$P))</f>
        <v/>
      </c>
      <c r="U126" s="18" t="str">
        <f aca="false">IF(A126="","",SUMIF(Entries!$B:$B,A126,Entries!$Q:$Q))</f>
        <v/>
      </c>
      <c r="V126" s="18" t="str">
        <f aca="false">IF(A126="","",SUMIF(Entries!$B:$B,A126,Entries!$R:$R))</f>
        <v/>
      </c>
    </row>
    <row r="127" customFormat="false" ht="15" hidden="false" customHeight="true" outlineLevel="0" collapsed="false">
      <c r="H127" s="22"/>
      <c r="I127" s="23"/>
      <c r="J127" s="23"/>
      <c r="K127" s="18" t="str">
        <f aca="false">IF(H127="","",H127*I127*J127)</f>
        <v/>
      </c>
      <c r="L127" s="24"/>
      <c r="P127" s="5" t="str">
        <f aca="false">IF(A127="","",COUNTIF(Entries!$B:$B,A127))</f>
        <v/>
      </c>
      <c r="Q127" s="18" t="str">
        <f aca="false">IF(A127="","",SUMIF(Entries!$B:$B,A127,Entries!$J:$J))</f>
        <v/>
      </c>
      <c r="R127" s="20" t="str">
        <f aca="false">IF(OR(A127="",P127=0),"",_xlfn.MINIFS(Entries!$N:$N,Entries!$B:$B,A127))</f>
        <v/>
      </c>
      <c r="S127" s="21" t="str">
        <f aca="false">IF(R127="","",R127-Assumptions!$D$5)</f>
        <v/>
      </c>
      <c r="T127" s="18" t="str">
        <f aca="false">IF(A127="","",SUMIF(Entries!$B:$B,A127,Entries!$P:$P))</f>
        <v/>
      </c>
      <c r="U127" s="18" t="str">
        <f aca="false">IF(A127="","",SUMIF(Entries!$B:$B,A127,Entries!$Q:$Q))</f>
        <v/>
      </c>
      <c r="V127" s="18" t="str">
        <f aca="false">IF(A127="","",SUMIF(Entries!$B:$B,A127,Entries!$R:$R))</f>
        <v/>
      </c>
    </row>
    <row r="128" customFormat="false" ht="15" hidden="false" customHeight="true" outlineLevel="0" collapsed="false">
      <c r="H128" s="22"/>
      <c r="I128" s="23"/>
      <c r="J128" s="23"/>
      <c r="K128" s="18" t="str">
        <f aca="false">IF(H128="","",H128*I128*J128)</f>
        <v/>
      </c>
      <c r="L128" s="24"/>
      <c r="P128" s="5" t="str">
        <f aca="false">IF(A128="","",COUNTIF(Entries!$B:$B,A128))</f>
        <v/>
      </c>
      <c r="Q128" s="18" t="str">
        <f aca="false">IF(A128="","",SUMIF(Entries!$B:$B,A128,Entries!$J:$J))</f>
        <v/>
      </c>
      <c r="R128" s="20" t="str">
        <f aca="false">IF(OR(A128="",P128=0),"",_xlfn.MINIFS(Entries!$N:$N,Entries!$B:$B,A128))</f>
        <v/>
      </c>
      <c r="S128" s="21" t="str">
        <f aca="false">IF(R128="","",R128-Assumptions!$D$5)</f>
        <v/>
      </c>
      <c r="T128" s="18" t="str">
        <f aca="false">IF(A128="","",SUMIF(Entries!$B:$B,A128,Entries!$P:$P))</f>
        <v/>
      </c>
      <c r="U128" s="18" t="str">
        <f aca="false">IF(A128="","",SUMIF(Entries!$B:$B,A128,Entries!$Q:$Q))</f>
        <v/>
      </c>
      <c r="V128" s="18" t="str">
        <f aca="false">IF(A128="","",SUMIF(Entries!$B:$B,A128,Entries!$R:$R))</f>
        <v/>
      </c>
    </row>
    <row r="129" customFormat="false" ht="15" hidden="false" customHeight="true" outlineLevel="0" collapsed="false">
      <c r="H129" s="22"/>
      <c r="I129" s="23"/>
      <c r="J129" s="23"/>
      <c r="K129" s="18" t="str">
        <f aca="false">IF(H129="","",H129*I129*J129)</f>
        <v/>
      </c>
      <c r="L129" s="24"/>
      <c r="P129" s="5" t="str">
        <f aca="false">IF(A129="","",COUNTIF(Entries!$B:$B,A129))</f>
        <v/>
      </c>
      <c r="Q129" s="18" t="str">
        <f aca="false">IF(A129="","",SUMIF(Entries!$B:$B,A129,Entries!$J:$J))</f>
        <v/>
      </c>
      <c r="R129" s="20" t="str">
        <f aca="false">IF(OR(A129="",P129=0),"",_xlfn.MINIFS(Entries!$N:$N,Entries!$B:$B,A129))</f>
        <v/>
      </c>
      <c r="S129" s="21" t="str">
        <f aca="false">IF(R129="","",R129-Assumptions!$D$5)</f>
        <v/>
      </c>
      <c r="T129" s="18" t="str">
        <f aca="false">IF(A129="","",SUMIF(Entries!$B:$B,A129,Entries!$P:$P))</f>
        <v/>
      </c>
      <c r="U129" s="18" t="str">
        <f aca="false">IF(A129="","",SUMIF(Entries!$B:$B,A129,Entries!$Q:$Q))</f>
        <v/>
      </c>
      <c r="V129" s="18" t="str">
        <f aca="false">IF(A129="","",SUMIF(Entries!$B:$B,A129,Entries!$R:$R))</f>
        <v/>
      </c>
    </row>
    <row r="130" customFormat="false" ht="15" hidden="false" customHeight="true" outlineLevel="0" collapsed="false">
      <c r="H130" s="22"/>
      <c r="I130" s="23"/>
      <c r="J130" s="23"/>
      <c r="K130" s="18" t="str">
        <f aca="false">IF(H130="","",H130*I130*J130)</f>
        <v/>
      </c>
      <c r="L130" s="24"/>
      <c r="P130" s="5" t="str">
        <f aca="false">IF(A130="","",COUNTIF(Entries!$B:$B,A130))</f>
        <v/>
      </c>
      <c r="Q130" s="18" t="str">
        <f aca="false">IF(A130="","",SUMIF(Entries!$B:$B,A130,Entries!$J:$J))</f>
        <v/>
      </c>
      <c r="R130" s="20" t="str">
        <f aca="false">IF(OR(A130="",P130=0),"",_xlfn.MINIFS(Entries!$N:$N,Entries!$B:$B,A130))</f>
        <v/>
      </c>
      <c r="S130" s="21" t="str">
        <f aca="false">IF(R130="","",R130-Assumptions!$D$5)</f>
        <v/>
      </c>
      <c r="T130" s="18" t="str">
        <f aca="false">IF(A130="","",SUMIF(Entries!$B:$B,A130,Entries!$P:$P))</f>
        <v/>
      </c>
      <c r="U130" s="18" t="str">
        <f aca="false">IF(A130="","",SUMIF(Entries!$B:$B,A130,Entries!$Q:$Q))</f>
        <v/>
      </c>
      <c r="V130" s="18" t="str">
        <f aca="false">IF(A130="","",SUMIF(Entries!$B:$B,A130,Entries!$R:$R))</f>
        <v/>
      </c>
    </row>
    <row r="131" customFormat="false" ht="15" hidden="false" customHeight="true" outlineLevel="0" collapsed="false">
      <c r="H131" s="22"/>
      <c r="I131" s="23"/>
      <c r="J131" s="23"/>
      <c r="K131" s="18" t="str">
        <f aca="false">IF(H131="","",H131*I131*J131)</f>
        <v/>
      </c>
      <c r="L131" s="24"/>
      <c r="P131" s="5" t="str">
        <f aca="false">IF(A131="","",COUNTIF(Entries!$B:$B,A131))</f>
        <v/>
      </c>
      <c r="Q131" s="18" t="str">
        <f aca="false">IF(A131="","",SUMIF(Entries!$B:$B,A131,Entries!$J:$J))</f>
        <v/>
      </c>
      <c r="R131" s="20" t="str">
        <f aca="false">IF(OR(A131="",P131=0),"",_xlfn.MINIFS(Entries!$N:$N,Entries!$B:$B,A131))</f>
        <v/>
      </c>
      <c r="S131" s="21" t="str">
        <f aca="false">IF(R131="","",R131-Assumptions!$D$5)</f>
        <v/>
      </c>
      <c r="T131" s="18" t="str">
        <f aca="false">IF(A131="","",SUMIF(Entries!$B:$B,A131,Entries!$P:$P))</f>
        <v/>
      </c>
      <c r="U131" s="18" t="str">
        <f aca="false">IF(A131="","",SUMIF(Entries!$B:$B,A131,Entries!$Q:$Q))</f>
        <v/>
      </c>
      <c r="V131" s="18" t="str">
        <f aca="false">IF(A131="","",SUMIF(Entries!$B:$B,A131,Entries!$R:$R))</f>
        <v/>
      </c>
    </row>
    <row r="132" customFormat="false" ht="15" hidden="false" customHeight="true" outlineLevel="0" collapsed="false">
      <c r="H132" s="22"/>
      <c r="I132" s="23"/>
      <c r="J132" s="23"/>
      <c r="K132" s="18" t="str">
        <f aca="false">IF(H132="","",H132*I132*J132)</f>
        <v/>
      </c>
      <c r="L132" s="24"/>
      <c r="P132" s="5" t="str">
        <f aca="false">IF(A132="","",COUNTIF(Entries!$B:$B,A132))</f>
        <v/>
      </c>
      <c r="Q132" s="18" t="str">
        <f aca="false">IF(A132="","",SUMIF(Entries!$B:$B,A132,Entries!$J:$J))</f>
        <v/>
      </c>
      <c r="R132" s="20" t="str">
        <f aca="false">IF(OR(A132="",P132=0),"",_xlfn.MINIFS(Entries!$N:$N,Entries!$B:$B,A132))</f>
        <v/>
      </c>
      <c r="S132" s="21" t="str">
        <f aca="false">IF(R132="","",R132-Assumptions!$D$5)</f>
        <v/>
      </c>
      <c r="T132" s="18" t="str">
        <f aca="false">IF(A132="","",SUMIF(Entries!$B:$B,A132,Entries!$P:$P))</f>
        <v/>
      </c>
      <c r="U132" s="18" t="str">
        <f aca="false">IF(A132="","",SUMIF(Entries!$B:$B,A132,Entries!$Q:$Q))</f>
        <v/>
      </c>
      <c r="V132" s="18" t="str">
        <f aca="false">IF(A132="","",SUMIF(Entries!$B:$B,A132,Entries!$R:$R))</f>
        <v/>
      </c>
    </row>
    <row r="133" customFormat="false" ht="15" hidden="false" customHeight="true" outlineLevel="0" collapsed="false">
      <c r="H133" s="22"/>
      <c r="I133" s="23"/>
      <c r="J133" s="23"/>
      <c r="K133" s="18" t="str">
        <f aca="false">IF(H133="","",H133*I133*J133)</f>
        <v/>
      </c>
      <c r="L133" s="24"/>
      <c r="P133" s="5" t="str">
        <f aca="false">IF(A133="","",COUNTIF(Entries!$B:$B,A133))</f>
        <v/>
      </c>
      <c r="Q133" s="18" t="str">
        <f aca="false">IF(A133="","",SUMIF(Entries!$B:$B,A133,Entries!$J:$J))</f>
        <v/>
      </c>
      <c r="R133" s="20" t="str">
        <f aca="false">IF(OR(A133="",P133=0),"",_xlfn.MINIFS(Entries!$N:$N,Entries!$B:$B,A133))</f>
        <v/>
      </c>
      <c r="S133" s="21" t="str">
        <f aca="false">IF(R133="","",R133-Assumptions!$D$5)</f>
        <v/>
      </c>
      <c r="T133" s="18" t="str">
        <f aca="false">IF(A133="","",SUMIF(Entries!$B:$B,A133,Entries!$P:$P))</f>
        <v/>
      </c>
      <c r="U133" s="18" t="str">
        <f aca="false">IF(A133="","",SUMIF(Entries!$B:$B,A133,Entries!$Q:$Q))</f>
        <v/>
      </c>
      <c r="V133" s="18" t="str">
        <f aca="false">IF(A133="","",SUMIF(Entries!$B:$B,A133,Entries!$R:$R))</f>
        <v/>
      </c>
    </row>
    <row r="134" customFormat="false" ht="15" hidden="false" customHeight="true" outlineLevel="0" collapsed="false">
      <c r="H134" s="22"/>
      <c r="I134" s="23"/>
      <c r="J134" s="23"/>
      <c r="K134" s="18" t="str">
        <f aca="false">IF(H134="","",H134*I134*J134)</f>
        <v/>
      </c>
      <c r="L134" s="24"/>
      <c r="P134" s="5" t="str">
        <f aca="false">IF(A134="","",COUNTIF(Entries!$B:$B,A134))</f>
        <v/>
      </c>
      <c r="Q134" s="18" t="str">
        <f aca="false">IF(A134="","",SUMIF(Entries!$B:$B,A134,Entries!$J:$J))</f>
        <v/>
      </c>
      <c r="R134" s="20" t="str">
        <f aca="false">IF(OR(A134="",P134=0),"",_xlfn.MINIFS(Entries!$N:$N,Entries!$B:$B,A134))</f>
        <v/>
      </c>
      <c r="S134" s="21" t="str">
        <f aca="false">IF(R134="","",R134-Assumptions!$D$5)</f>
        <v/>
      </c>
      <c r="T134" s="18" t="str">
        <f aca="false">IF(A134="","",SUMIF(Entries!$B:$B,A134,Entries!$P:$P))</f>
        <v/>
      </c>
      <c r="U134" s="18" t="str">
        <f aca="false">IF(A134="","",SUMIF(Entries!$B:$B,A134,Entries!$Q:$Q))</f>
        <v/>
      </c>
      <c r="V134" s="18" t="str">
        <f aca="false">IF(A134="","",SUMIF(Entries!$B:$B,A134,Entries!$R:$R))</f>
        <v/>
      </c>
    </row>
    <row r="135" customFormat="false" ht="15" hidden="false" customHeight="true" outlineLevel="0" collapsed="false">
      <c r="H135" s="22"/>
      <c r="I135" s="23"/>
      <c r="J135" s="23"/>
      <c r="K135" s="18" t="str">
        <f aca="false">IF(H135="","",H135*I135*J135)</f>
        <v/>
      </c>
      <c r="L135" s="24"/>
      <c r="P135" s="5" t="str">
        <f aca="false">IF(A135="","",COUNTIF(Entries!$B:$B,A135))</f>
        <v/>
      </c>
      <c r="Q135" s="18" t="str">
        <f aca="false">IF(A135="","",SUMIF(Entries!$B:$B,A135,Entries!$J:$J))</f>
        <v/>
      </c>
      <c r="R135" s="20" t="str">
        <f aca="false">IF(OR(A135="",P135=0),"",_xlfn.MINIFS(Entries!$N:$N,Entries!$B:$B,A135))</f>
        <v/>
      </c>
      <c r="S135" s="21" t="str">
        <f aca="false">IF(R135="","",R135-Assumptions!$D$5)</f>
        <v/>
      </c>
      <c r="T135" s="18" t="str">
        <f aca="false">IF(A135="","",SUMIF(Entries!$B:$B,A135,Entries!$P:$P))</f>
        <v/>
      </c>
      <c r="U135" s="18" t="str">
        <f aca="false">IF(A135="","",SUMIF(Entries!$B:$B,A135,Entries!$Q:$Q))</f>
        <v/>
      </c>
      <c r="V135" s="18" t="str">
        <f aca="false">IF(A135="","",SUMIF(Entries!$B:$B,A135,Entries!$R:$R))</f>
        <v/>
      </c>
    </row>
    <row r="136" customFormat="false" ht="15" hidden="false" customHeight="true" outlineLevel="0" collapsed="false">
      <c r="H136" s="22"/>
      <c r="I136" s="23"/>
      <c r="J136" s="23"/>
      <c r="K136" s="18" t="str">
        <f aca="false">IF(H136="","",H136*I136*J136)</f>
        <v/>
      </c>
      <c r="L136" s="24"/>
      <c r="P136" s="5" t="str">
        <f aca="false">IF(A136="","",COUNTIF(Entries!$B:$B,A136))</f>
        <v/>
      </c>
      <c r="Q136" s="18" t="str">
        <f aca="false">IF(A136="","",SUMIF(Entries!$B:$B,A136,Entries!$J:$J))</f>
        <v/>
      </c>
      <c r="R136" s="20" t="str">
        <f aca="false">IF(OR(A136="",P136=0),"",_xlfn.MINIFS(Entries!$N:$N,Entries!$B:$B,A136))</f>
        <v/>
      </c>
      <c r="S136" s="21" t="str">
        <f aca="false">IF(R136="","",R136-Assumptions!$D$5)</f>
        <v/>
      </c>
      <c r="T136" s="18" t="str">
        <f aca="false">IF(A136="","",SUMIF(Entries!$B:$B,A136,Entries!$P:$P))</f>
        <v/>
      </c>
      <c r="U136" s="18" t="str">
        <f aca="false">IF(A136="","",SUMIF(Entries!$B:$B,A136,Entries!$Q:$Q))</f>
        <v/>
      </c>
      <c r="V136" s="18" t="str">
        <f aca="false">IF(A136="","",SUMIF(Entries!$B:$B,A136,Entries!$R:$R))</f>
        <v/>
      </c>
    </row>
    <row r="137" customFormat="false" ht="15" hidden="false" customHeight="true" outlineLevel="0" collapsed="false">
      <c r="H137" s="22"/>
      <c r="I137" s="23"/>
      <c r="J137" s="23"/>
      <c r="K137" s="18" t="str">
        <f aca="false">IF(H137="","",H137*I137*J137)</f>
        <v/>
      </c>
      <c r="L137" s="24"/>
      <c r="P137" s="5" t="str">
        <f aca="false">IF(A137="","",COUNTIF(Entries!$B:$B,A137))</f>
        <v/>
      </c>
      <c r="Q137" s="18" t="str">
        <f aca="false">IF(A137="","",SUMIF(Entries!$B:$B,A137,Entries!$J:$J))</f>
        <v/>
      </c>
      <c r="R137" s="20" t="str">
        <f aca="false">IF(OR(A137="",P137=0),"",_xlfn.MINIFS(Entries!$N:$N,Entries!$B:$B,A137))</f>
        <v/>
      </c>
      <c r="S137" s="21" t="str">
        <f aca="false">IF(R137="","",R137-Assumptions!$D$5)</f>
        <v/>
      </c>
      <c r="T137" s="18" t="str">
        <f aca="false">IF(A137="","",SUMIF(Entries!$B:$B,A137,Entries!$P:$P))</f>
        <v/>
      </c>
      <c r="U137" s="18" t="str">
        <f aca="false">IF(A137="","",SUMIF(Entries!$B:$B,A137,Entries!$Q:$Q))</f>
        <v/>
      </c>
      <c r="V137" s="18" t="str">
        <f aca="false">IF(A137="","",SUMIF(Entries!$B:$B,A137,Entries!$R:$R))</f>
        <v/>
      </c>
    </row>
    <row r="138" customFormat="false" ht="15" hidden="false" customHeight="true" outlineLevel="0" collapsed="false">
      <c r="H138" s="22"/>
      <c r="I138" s="23"/>
      <c r="J138" s="23"/>
      <c r="K138" s="18" t="str">
        <f aca="false">IF(H138="","",H138*I138*J138)</f>
        <v/>
      </c>
      <c r="L138" s="24"/>
      <c r="P138" s="5" t="str">
        <f aca="false">IF(A138="","",COUNTIF(Entries!$B:$B,A138))</f>
        <v/>
      </c>
      <c r="Q138" s="18" t="str">
        <f aca="false">IF(A138="","",SUMIF(Entries!$B:$B,A138,Entries!$J:$J))</f>
        <v/>
      </c>
      <c r="R138" s="20" t="str">
        <f aca="false">IF(OR(A138="",P138=0),"",_xlfn.MINIFS(Entries!$N:$N,Entries!$B:$B,A138))</f>
        <v/>
      </c>
      <c r="S138" s="21" t="str">
        <f aca="false">IF(R138="","",R138-Assumptions!$D$5)</f>
        <v/>
      </c>
      <c r="T138" s="18" t="str">
        <f aca="false">IF(A138="","",SUMIF(Entries!$B:$B,A138,Entries!$P:$P))</f>
        <v/>
      </c>
      <c r="U138" s="18" t="str">
        <f aca="false">IF(A138="","",SUMIF(Entries!$B:$B,A138,Entries!$Q:$Q))</f>
        <v/>
      </c>
      <c r="V138" s="18" t="str">
        <f aca="false">IF(A138="","",SUMIF(Entries!$B:$B,A138,Entries!$R:$R))</f>
        <v/>
      </c>
    </row>
    <row r="139" customFormat="false" ht="15" hidden="false" customHeight="true" outlineLevel="0" collapsed="false">
      <c r="H139" s="22"/>
      <c r="I139" s="23"/>
      <c r="J139" s="23"/>
      <c r="K139" s="18" t="str">
        <f aca="false">IF(H139="","",H139*I139*J139)</f>
        <v/>
      </c>
      <c r="L139" s="24"/>
      <c r="P139" s="5" t="str">
        <f aca="false">IF(A139="","",COUNTIF(Entries!$B:$B,A139))</f>
        <v/>
      </c>
      <c r="Q139" s="18" t="str">
        <f aca="false">IF(A139="","",SUMIF(Entries!$B:$B,A139,Entries!$J:$J))</f>
        <v/>
      </c>
      <c r="R139" s="20" t="str">
        <f aca="false">IF(OR(A139="",P139=0),"",_xlfn.MINIFS(Entries!$N:$N,Entries!$B:$B,A139))</f>
        <v/>
      </c>
      <c r="S139" s="21" t="str">
        <f aca="false">IF(R139="","",R139-Assumptions!$D$5)</f>
        <v/>
      </c>
      <c r="T139" s="18" t="str">
        <f aca="false">IF(A139="","",SUMIF(Entries!$B:$B,A139,Entries!$P:$P))</f>
        <v/>
      </c>
      <c r="U139" s="18" t="str">
        <f aca="false">IF(A139="","",SUMIF(Entries!$B:$B,A139,Entries!$Q:$Q))</f>
        <v/>
      </c>
      <c r="V139" s="18" t="str">
        <f aca="false">IF(A139="","",SUMIF(Entries!$B:$B,A139,Entries!$R:$R))</f>
        <v/>
      </c>
    </row>
    <row r="140" customFormat="false" ht="15" hidden="false" customHeight="true" outlineLevel="0" collapsed="false">
      <c r="H140" s="22"/>
      <c r="I140" s="23"/>
      <c r="J140" s="23"/>
      <c r="K140" s="18" t="str">
        <f aca="false">IF(H140="","",H140*I140*J140)</f>
        <v/>
      </c>
      <c r="L140" s="24"/>
      <c r="P140" s="5" t="str">
        <f aca="false">IF(A140="","",COUNTIF(Entries!$B:$B,A140))</f>
        <v/>
      </c>
      <c r="Q140" s="18" t="str">
        <f aca="false">IF(A140="","",SUMIF(Entries!$B:$B,A140,Entries!$J:$J))</f>
        <v/>
      </c>
      <c r="R140" s="20" t="str">
        <f aca="false">IF(OR(A140="",P140=0),"",_xlfn.MINIFS(Entries!$N:$N,Entries!$B:$B,A140))</f>
        <v/>
      </c>
      <c r="S140" s="21" t="str">
        <f aca="false">IF(R140="","",R140-Assumptions!$D$5)</f>
        <v/>
      </c>
      <c r="T140" s="18" t="str">
        <f aca="false">IF(A140="","",SUMIF(Entries!$B:$B,A140,Entries!$P:$P))</f>
        <v/>
      </c>
      <c r="U140" s="18" t="str">
        <f aca="false">IF(A140="","",SUMIF(Entries!$B:$B,A140,Entries!$Q:$Q))</f>
        <v/>
      </c>
      <c r="V140" s="18" t="str">
        <f aca="false">IF(A140="","",SUMIF(Entries!$B:$B,A140,Entries!$R:$R))</f>
        <v/>
      </c>
    </row>
    <row r="141" customFormat="false" ht="15" hidden="false" customHeight="true" outlineLevel="0" collapsed="false">
      <c r="H141" s="22"/>
      <c r="I141" s="23"/>
      <c r="J141" s="23"/>
      <c r="K141" s="18" t="str">
        <f aca="false">IF(H141="","",H141*I141*J141)</f>
        <v/>
      </c>
      <c r="L141" s="24"/>
      <c r="P141" s="5" t="str">
        <f aca="false">IF(A141="","",COUNTIF(Entries!$B:$B,A141))</f>
        <v/>
      </c>
      <c r="Q141" s="18" t="str">
        <f aca="false">IF(A141="","",SUMIF(Entries!$B:$B,A141,Entries!$J:$J))</f>
        <v/>
      </c>
      <c r="R141" s="20" t="str">
        <f aca="false">IF(OR(A141="",P141=0),"",_xlfn.MINIFS(Entries!$N:$N,Entries!$B:$B,A141))</f>
        <v/>
      </c>
      <c r="S141" s="21" t="str">
        <f aca="false">IF(R141="","",R141-Assumptions!$D$5)</f>
        <v/>
      </c>
      <c r="T141" s="18" t="str">
        <f aca="false">IF(A141="","",SUMIF(Entries!$B:$B,A141,Entries!$P:$P))</f>
        <v/>
      </c>
      <c r="U141" s="18" t="str">
        <f aca="false">IF(A141="","",SUMIF(Entries!$B:$B,A141,Entries!$Q:$Q))</f>
        <v/>
      </c>
      <c r="V141" s="18" t="str">
        <f aca="false">IF(A141="","",SUMIF(Entries!$B:$B,A141,Entries!$R:$R))</f>
        <v/>
      </c>
    </row>
    <row r="142" customFormat="false" ht="15" hidden="false" customHeight="true" outlineLevel="0" collapsed="false">
      <c r="H142" s="22"/>
      <c r="I142" s="23"/>
      <c r="J142" s="23"/>
      <c r="K142" s="18" t="str">
        <f aca="false">IF(H142="","",H142*I142*J142)</f>
        <v/>
      </c>
      <c r="L142" s="24"/>
      <c r="P142" s="5" t="str">
        <f aca="false">IF(A142="","",COUNTIF(Entries!$B:$B,A142))</f>
        <v/>
      </c>
      <c r="Q142" s="18" t="str">
        <f aca="false">IF(A142="","",SUMIF(Entries!$B:$B,A142,Entries!$J:$J))</f>
        <v/>
      </c>
      <c r="R142" s="20" t="str">
        <f aca="false">IF(OR(A142="",P142=0),"",_xlfn.MINIFS(Entries!$N:$N,Entries!$B:$B,A142))</f>
        <v/>
      </c>
      <c r="S142" s="21" t="str">
        <f aca="false">IF(R142="","",R142-Assumptions!$D$5)</f>
        <v/>
      </c>
      <c r="T142" s="18" t="str">
        <f aca="false">IF(A142="","",SUMIF(Entries!$B:$B,A142,Entries!$P:$P))</f>
        <v/>
      </c>
      <c r="U142" s="18" t="str">
        <f aca="false">IF(A142="","",SUMIF(Entries!$B:$B,A142,Entries!$Q:$Q))</f>
        <v/>
      </c>
      <c r="V142" s="18" t="str">
        <f aca="false">IF(A142="","",SUMIF(Entries!$B:$B,A142,Entries!$R:$R))</f>
        <v/>
      </c>
    </row>
    <row r="143" customFormat="false" ht="15" hidden="false" customHeight="true" outlineLevel="0" collapsed="false">
      <c r="H143" s="22"/>
      <c r="I143" s="23"/>
      <c r="J143" s="23"/>
      <c r="K143" s="18" t="str">
        <f aca="false">IF(H143="","",H143*I143*J143)</f>
        <v/>
      </c>
      <c r="L143" s="24"/>
      <c r="P143" s="5" t="str">
        <f aca="false">IF(A143="","",COUNTIF(Entries!$B:$B,A143))</f>
        <v/>
      </c>
      <c r="Q143" s="18" t="str">
        <f aca="false">IF(A143="","",SUMIF(Entries!$B:$B,A143,Entries!$J:$J))</f>
        <v/>
      </c>
      <c r="R143" s="20" t="str">
        <f aca="false">IF(OR(A143="",P143=0),"",_xlfn.MINIFS(Entries!$N:$N,Entries!$B:$B,A143))</f>
        <v/>
      </c>
      <c r="S143" s="21" t="str">
        <f aca="false">IF(R143="","",R143-Assumptions!$D$5)</f>
        <v/>
      </c>
      <c r="T143" s="18" t="str">
        <f aca="false">IF(A143="","",SUMIF(Entries!$B:$B,A143,Entries!$P:$P))</f>
        <v/>
      </c>
      <c r="U143" s="18" t="str">
        <f aca="false">IF(A143="","",SUMIF(Entries!$B:$B,A143,Entries!$Q:$Q))</f>
        <v/>
      </c>
      <c r="V143" s="18" t="str">
        <f aca="false">IF(A143="","",SUMIF(Entries!$B:$B,A143,Entries!$R:$R))</f>
        <v/>
      </c>
    </row>
    <row r="144" customFormat="false" ht="15" hidden="false" customHeight="true" outlineLevel="0" collapsed="false">
      <c r="H144" s="22"/>
      <c r="I144" s="23"/>
      <c r="J144" s="23"/>
      <c r="K144" s="18" t="str">
        <f aca="false">IF(H144="","",H144*I144*J144)</f>
        <v/>
      </c>
      <c r="L144" s="24"/>
      <c r="P144" s="5" t="str">
        <f aca="false">IF(A144="","",COUNTIF(Entries!$B:$B,A144))</f>
        <v/>
      </c>
      <c r="Q144" s="18" t="str">
        <f aca="false">IF(A144="","",SUMIF(Entries!$B:$B,A144,Entries!$J:$J))</f>
        <v/>
      </c>
      <c r="R144" s="20" t="str">
        <f aca="false">IF(OR(A144="",P144=0),"",_xlfn.MINIFS(Entries!$N:$N,Entries!$B:$B,A144))</f>
        <v/>
      </c>
      <c r="S144" s="21" t="str">
        <f aca="false">IF(R144="","",R144-Assumptions!$D$5)</f>
        <v/>
      </c>
      <c r="T144" s="18" t="str">
        <f aca="false">IF(A144="","",SUMIF(Entries!$B:$B,A144,Entries!$P:$P))</f>
        <v/>
      </c>
      <c r="U144" s="18" t="str">
        <f aca="false">IF(A144="","",SUMIF(Entries!$B:$B,A144,Entries!$Q:$Q))</f>
        <v/>
      </c>
      <c r="V144" s="18" t="str">
        <f aca="false">IF(A144="","",SUMIF(Entries!$B:$B,A144,Entries!$R:$R))</f>
        <v/>
      </c>
    </row>
    <row r="145" customFormat="false" ht="15" hidden="false" customHeight="true" outlineLevel="0" collapsed="false">
      <c r="H145" s="22"/>
      <c r="I145" s="23"/>
      <c r="J145" s="23"/>
      <c r="K145" s="18" t="str">
        <f aca="false">IF(H145="","",H145*I145*J145)</f>
        <v/>
      </c>
      <c r="L145" s="24"/>
      <c r="P145" s="5" t="str">
        <f aca="false">IF(A145="","",COUNTIF(Entries!$B:$B,A145))</f>
        <v/>
      </c>
      <c r="Q145" s="18" t="str">
        <f aca="false">IF(A145="","",SUMIF(Entries!$B:$B,A145,Entries!$J:$J))</f>
        <v/>
      </c>
      <c r="R145" s="20" t="str">
        <f aca="false">IF(OR(A145="",P145=0),"",_xlfn.MINIFS(Entries!$N:$N,Entries!$B:$B,A145))</f>
        <v/>
      </c>
      <c r="S145" s="21" t="str">
        <f aca="false">IF(R145="","",R145-Assumptions!$D$5)</f>
        <v/>
      </c>
      <c r="T145" s="18" t="str">
        <f aca="false">IF(A145="","",SUMIF(Entries!$B:$B,A145,Entries!$P:$P))</f>
        <v/>
      </c>
      <c r="U145" s="18" t="str">
        <f aca="false">IF(A145="","",SUMIF(Entries!$B:$B,A145,Entries!$Q:$Q))</f>
        <v/>
      </c>
      <c r="V145" s="18" t="str">
        <f aca="false">IF(A145="","",SUMIF(Entries!$B:$B,A145,Entries!$R:$R))</f>
        <v/>
      </c>
    </row>
    <row r="146" customFormat="false" ht="15" hidden="false" customHeight="true" outlineLevel="0" collapsed="false">
      <c r="H146" s="22"/>
      <c r="I146" s="23"/>
      <c r="J146" s="23"/>
      <c r="K146" s="18" t="str">
        <f aca="false">IF(H146="","",H146*I146*J146)</f>
        <v/>
      </c>
      <c r="L146" s="24"/>
      <c r="P146" s="5" t="str">
        <f aca="false">IF(A146="","",COUNTIF(Entries!$B:$B,A146))</f>
        <v/>
      </c>
      <c r="Q146" s="18" t="str">
        <f aca="false">IF(A146="","",SUMIF(Entries!$B:$B,A146,Entries!$J:$J))</f>
        <v/>
      </c>
      <c r="R146" s="20" t="str">
        <f aca="false">IF(OR(A146="",P146=0),"",_xlfn.MINIFS(Entries!$N:$N,Entries!$B:$B,A146))</f>
        <v/>
      </c>
      <c r="S146" s="21" t="str">
        <f aca="false">IF(R146="","",R146-Assumptions!$D$5)</f>
        <v/>
      </c>
      <c r="T146" s="18" t="str">
        <f aca="false">IF(A146="","",SUMIF(Entries!$B:$B,A146,Entries!$P:$P))</f>
        <v/>
      </c>
      <c r="U146" s="18" t="str">
        <f aca="false">IF(A146="","",SUMIF(Entries!$B:$B,A146,Entries!$Q:$Q))</f>
        <v/>
      </c>
      <c r="V146" s="18" t="str">
        <f aca="false">IF(A146="","",SUMIF(Entries!$B:$B,A146,Entries!$R:$R))</f>
        <v/>
      </c>
    </row>
    <row r="147" customFormat="false" ht="15" hidden="false" customHeight="true" outlineLevel="0" collapsed="false">
      <c r="H147" s="22"/>
      <c r="I147" s="23"/>
      <c r="J147" s="23"/>
      <c r="K147" s="18" t="str">
        <f aca="false">IF(H147="","",H147*I147*J147)</f>
        <v/>
      </c>
      <c r="L147" s="24"/>
      <c r="P147" s="5" t="str">
        <f aca="false">IF(A147="","",COUNTIF(Entries!$B:$B,A147))</f>
        <v/>
      </c>
      <c r="Q147" s="18" t="str">
        <f aca="false">IF(A147="","",SUMIF(Entries!$B:$B,A147,Entries!$J:$J))</f>
        <v/>
      </c>
      <c r="R147" s="20" t="str">
        <f aca="false">IF(OR(A147="",P147=0),"",_xlfn.MINIFS(Entries!$N:$N,Entries!$B:$B,A147))</f>
        <v/>
      </c>
      <c r="S147" s="21" t="str">
        <f aca="false">IF(R147="","",R147-Assumptions!$D$5)</f>
        <v/>
      </c>
      <c r="T147" s="18" t="str">
        <f aca="false">IF(A147="","",SUMIF(Entries!$B:$B,A147,Entries!$P:$P))</f>
        <v/>
      </c>
      <c r="U147" s="18" t="str">
        <f aca="false">IF(A147="","",SUMIF(Entries!$B:$B,A147,Entries!$Q:$Q))</f>
        <v/>
      </c>
      <c r="V147" s="18" t="str">
        <f aca="false">IF(A147="","",SUMIF(Entries!$B:$B,A147,Entries!$R:$R))</f>
        <v/>
      </c>
    </row>
    <row r="148" customFormat="false" ht="15" hidden="false" customHeight="true" outlineLevel="0" collapsed="false">
      <c r="H148" s="22"/>
      <c r="I148" s="23"/>
      <c r="J148" s="23"/>
      <c r="K148" s="18" t="str">
        <f aca="false">IF(H148="","",H148*I148*J148)</f>
        <v/>
      </c>
      <c r="L148" s="24"/>
      <c r="P148" s="5" t="str">
        <f aca="false">IF(A148="","",COUNTIF(Entries!$B:$B,A148))</f>
        <v/>
      </c>
      <c r="Q148" s="18" t="str">
        <f aca="false">IF(A148="","",SUMIF(Entries!$B:$B,A148,Entries!$J:$J))</f>
        <v/>
      </c>
      <c r="R148" s="20" t="str">
        <f aca="false">IF(OR(A148="",P148=0),"",_xlfn.MINIFS(Entries!$N:$N,Entries!$B:$B,A148))</f>
        <v/>
      </c>
      <c r="S148" s="21" t="str">
        <f aca="false">IF(R148="","",R148-Assumptions!$D$5)</f>
        <v/>
      </c>
      <c r="T148" s="18" t="str">
        <f aca="false">IF(A148="","",SUMIF(Entries!$B:$B,A148,Entries!$P:$P))</f>
        <v/>
      </c>
      <c r="U148" s="18" t="str">
        <f aca="false">IF(A148="","",SUMIF(Entries!$B:$B,A148,Entries!$Q:$Q))</f>
        <v/>
      </c>
      <c r="V148" s="18" t="str">
        <f aca="false">IF(A148="","",SUMIF(Entries!$B:$B,A148,Entries!$R:$R))</f>
        <v/>
      </c>
    </row>
    <row r="149" customFormat="false" ht="15" hidden="false" customHeight="true" outlineLevel="0" collapsed="false">
      <c r="H149" s="22"/>
      <c r="I149" s="23"/>
      <c r="J149" s="23"/>
      <c r="K149" s="18" t="str">
        <f aca="false">IF(H149="","",H149*I149*J149)</f>
        <v/>
      </c>
      <c r="L149" s="24"/>
      <c r="P149" s="5" t="str">
        <f aca="false">IF(A149="","",COUNTIF(Entries!$B:$B,A149))</f>
        <v/>
      </c>
      <c r="Q149" s="18" t="str">
        <f aca="false">IF(A149="","",SUMIF(Entries!$B:$B,A149,Entries!$J:$J))</f>
        <v/>
      </c>
      <c r="R149" s="20" t="str">
        <f aca="false">IF(OR(A149="",P149=0),"",_xlfn.MINIFS(Entries!$N:$N,Entries!$B:$B,A149))</f>
        <v/>
      </c>
      <c r="S149" s="21" t="str">
        <f aca="false">IF(R149="","",R149-Assumptions!$D$5)</f>
        <v/>
      </c>
      <c r="T149" s="18" t="str">
        <f aca="false">IF(A149="","",SUMIF(Entries!$B:$B,A149,Entries!$P:$P))</f>
        <v/>
      </c>
      <c r="U149" s="18" t="str">
        <f aca="false">IF(A149="","",SUMIF(Entries!$B:$B,A149,Entries!$Q:$Q))</f>
        <v/>
      </c>
      <c r="V149" s="18" t="str">
        <f aca="false">IF(A149="","",SUMIF(Entries!$B:$B,A149,Entries!$R:$R))</f>
        <v/>
      </c>
    </row>
    <row r="150" customFormat="false" ht="15" hidden="false" customHeight="true" outlineLevel="0" collapsed="false">
      <c r="H150" s="22"/>
      <c r="I150" s="23"/>
      <c r="J150" s="23"/>
      <c r="K150" s="18" t="str">
        <f aca="false">IF(H150="","",H150*I150*J150)</f>
        <v/>
      </c>
      <c r="L150" s="24"/>
      <c r="P150" s="5" t="str">
        <f aca="false">IF(A150="","",COUNTIF(Entries!$B:$B,A150))</f>
        <v/>
      </c>
      <c r="Q150" s="18" t="str">
        <f aca="false">IF(A150="","",SUMIF(Entries!$B:$B,A150,Entries!$J:$J))</f>
        <v/>
      </c>
      <c r="R150" s="20" t="str">
        <f aca="false">IF(OR(A150="",P150=0),"",_xlfn.MINIFS(Entries!$N:$N,Entries!$B:$B,A150))</f>
        <v/>
      </c>
      <c r="S150" s="21" t="str">
        <f aca="false">IF(R150="","",R150-Assumptions!$D$5)</f>
        <v/>
      </c>
      <c r="T150" s="18" t="str">
        <f aca="false">IF(A150="","",SUMIF(Entries!$B:$B,A150,Entries!$P:$P))</f>
        <v/>
      </c>
      <c r="U150" s="18" t="str">
        <f aca="false">IF(A150="","",SUMIF(Entries!$B:$B,A150,Entries!$Q:$Q))</f>
        <v/>
      </c>
      <c r="V150" s="18" t="str">
        <f aca="false">IF(A150="","",SUMIF(Entries!$B:$B,A150,Entries!$R:$R))</f>
        <v/>
      </c>
    </row>
    <row r="151" customFormat="false" ht="15" hidden="false" customHeight="true" outlineLevel="0" collapsed="false">
      <c r="H151" s="22"/>
      <c r="I151" s="23"/>
      <c r="J151" s="23"/>
      <c r="K151" s="18" t="str">
        <f aca="false">IF(H151="","",H151*I151*J151)</f>
        <v/>
      </c>
      <c r="L151" s="24"/>
      <c r="P151" s="5" t="str">
        <f aca="false">IF(A151="","",COUNTIF(Entries!$B:$B,A151))</f>
        <v/>
      </c>
      <c r="Q151" s="18" t="str">
        <f aca="false">IF(A151="","",SUMIF(Entries!$B:$B,A151,Entries!$J:$J))</f>
        <v/>
      </c>
      <c r="R151" s="20" t="str">
        <f aca="false">IF(OR(A151="",P151=0),"",_xlfn.MINIFS(Entries!$N:$N,Entries!$B:$B,A151))</f>
        <v/>
      </c>
      <c r="S151" s="21" t="str">
        <f aca="false">IF(R151="","",R151-Assumptions!$D$5)</f>
        <v/>
      </c>
      <c r="T151" s="18" t="str">
        <f aca="false">IF(A151="","",SUMIF(Entries!$B:$B,A151,Entries!$P:$P))</f>
        <v/>
      </c>
      <c r="U151" s="18" t="str">
        <f aca="false">IF(A151="","",SUMIF(Entries!$B:$B,A151,Entries!$Q:$Q))</f>
        <v/>
      </c>
      <c r="V151" s="18" t="str">
        <f aca="false">IF(A151="","",SUMIF(Entries!$B:$B,A151,Entries!$R:$R))</f>
        <v/>
      </c>
    </row>
    <row r="152" customFormat="false" ht="15" hidden="false" customHeight="true" outlineLevel="0" collapsed="false">
      <c r="H152" s="22"/>
      <c r="I152" s="23"/>
      <c r="J152" s="23"/>
      <c r="K152" s="18" t="str">
        <f aca="false">IF(H152="","",H152*I152*J152)</f>
        <v/>
      </c>
      <c r="L152" s="24"/>
      <c r="P152" s="5" t="str">
        <f aca="false">IF(A152="","",COUNTIF(Entries!$B:$B,A152))</f>
        <v/>
      </c>
      <c r="Q152" s="18" t="str">
        <f aca="false">IF(A152="","",SUMIF(Entries!$B:$B,A152,Entries!$J:$J))</f>
        <v/>
      </c>
      <c r="R152" s="20" t="str">
        <f aca="false">IF(OR(A152="",P152=0),"",_xlfn.MINIFS(Entries!$N:$N,Entries!$B:$B,A152))</f>
        <v/>
      </c>
      <c r="S152" s="21" t="str">
        <f aca="false">IF(R152="","",R152-Assumptions!$D$5)</f>
        <v/>
      </c>
      <c r="T152" s="18" t="str">
        <f aca="false">IF(A152="","",SUMIF(Entries!$B:$B,A152,Entries!$P:$P))</f>
        <v/>
      </c>
      <c r="U152" s="18" t="str">
        <f aca="false">IF(A152="","",SUMIF(Entries!$B:$B,A152,Entries!$Q:$Q))</f>
        <v/>
      </c>
      <c r="V152" s="18" t="str">
        <f aca="false">IF(A152="","",SUMIF(Entries!$B:$B,A152,Entries!$R:$R))</f>
        <v/>
      </c>
    </row>
    <row r="153" customFormat="false" ht="15" hidden="false" customHeight="true" outlineLevel="0" collapsed="false">
      <c r="H153" s="22"/>
      <c r="I153" s="23"/>
      <c r="J153" s="23"/>
      <c r="K153" s="18" t="str">
        <f aca="false">IF(H153="","",H153*I153*J153)</f>
        <v/>
      </c>
      <c r="L153" s="24"/>
      <c r="P153" s="5" t="str">
        <f aca="false">IF(A153="","",COUNTIF(Entries!$B:$B,A153))</f>
        <v/>
      </c>
      <c r="Q153" s="18" t="str">
        <f aca="false">IF(A153="","",SUMIF(Entries!$B:$B,A153,Entries!$J:$J))</f>
        <v/>
      </c>
      <c r="R153" s="20" t="str">
        <f aca="false">IF(OR(A153="",P153=0),"",_xlfn.MINIFS(Entries!$N:$N,Entries!$B:$B,A153))</f>
        <v/>
      </c>
      <c r="S153" s="21" t="str">
        <f aca="false">IF(R153="","",R153-Assumptions!$D$5)</f>
        <v/>
      </c>
      <c r="T153" s="18" t="str">
        <f aca="false">IF(A153="","",SUMIF(Entries!$B:$B,A153,Entries!$P:$P))</f>
        <v/>
      </c>
      <c r="U153" s="18" t="str">
        <f aca="false">IF(A153="","",SUMIF(Entries!$B:$B,A153,Entries!$Q:$Q))</f>
        <v/>
      </c>
      <c r="V153" s="18" t="str">
        <f aca="false">IF(A153="","",SUMIF(Entries!$B:$B,A153,Entries!$R:$R))</f>
        <v/>
      </c>
    </row>
    <row r="154" customFormat="false" ht="15" hidden="false" customHeight="true" outlineLevel="0" collapsed="false">
      <c r="H154" s="22"/>
      <c r="I154" s="23"/>
      <c r="J154" s="23"/>
      <c r="K154" s="18" t="str">
        <f aca="false">IF(H154="","",H154*I154*J154)</f>
        <v/>
      </c>
      <c r="L154" s="24"/>
      <c r="P154" s="5" t="str">
        <f aca="false">IF(A154="","",COUNTIF(Entries!$B:$B,A154))</f>
        <v/>
      </c>
      <c r="Q154" s="18" t="str">
        <f aca="false">IF(A154="","",SUMIF(Entries!$B:$B,A154,Entries!$J:$J))</f>
        <v/>
      </c>
      <c r="R154" s="20" t="str">
        <f aca="false">IF(OR(A154="",P154=0),"",_xlfn.MINIFS(Entries!$N:$N,Entries!$B:$B,A154))</f>
        <v/>
      </c>
      <c r="S154" s="21" t="str">
        <f aca="false">IF(R154="","",R154-Assumptions!$D$5)</f>
        <v/>
      </c>
      <c r="T154" s="18" t="str">
        <f aca="false">IF(A154="","",SUMIF(Entries!$B:$B,A154,Entries!$P:$P))</f>
        <v/>
      </c>
      <c r="U154" s="18" t="str">
        <f aca="false">IF(A154="","",SUMIF(Entries!$B:$B,A154,Entries!$Q:$Q))</f>
        <v/>
      </c>
      <c r="V154" s="18" t="str">
        <f aca="false">IF(A154="","",SUMIF(Entries!$B:$B,A154,Entries!$R:$R))</f>
        <v/>
      </c>
    </row>
    <row r="155" customFormat="false" ht="15" hidden="false" customHeight="true" outlineLevel="0" collapsed="false">
      <c r="H155" s="22"/>
      <c r="I155" s="23"/>
      <c r="J155" s="23"/>
      <c r="K155" s="18" t="str">
        <f aca="false">IF(H155="","",H155*I155*J155)</f>
        <v/>
      </c>
      <c r="L155" s="24"/>
      <c r="P155" s="5" t="str">
        <f aca="false">IF(A155="","",COUNTIF(Entries!$B:$B,A155))</f>
        <v/>
      </c>
      <c r="Q155" s="18" t="str">
        <f aca="false">IF(A155="","",SUMIF(Entries!$B:$B,A155,Entries!$J:$J))</f>
        <v/>
      </c>
      <c r="R155" s="20" t="str">
        <f aca="false">IF(OR(A155="",P155=0),"",_xlfn.MINIFS(Entries!$N:$N,Entries!$B:$B,A155))</f>
        <v/>
      </c>
      <c r="S155" s="21" t="str">
        <f aca="false">IF(R155="","",R155-Assumptions!$D$5)</f>
        <v/>
      </c>
      <c r="T155" s="18" t="str">
        <f aca="false">IF(A155="","",SUMIF(Entries!$B:$B,A155,Entries!$P:$P))</f>
        <v/>
      </c>
      <c r="U155" s="18" t="str">
        <f aca="false">IF(A155="","",SUMIF(Entries!$B:$B,A155,Entries!$Q:$Q))</f>
        <v/>
      </c>
      <c r="V155" s="18" t="str">
        <f aca="false">IF(A155="","",SUMIF(Entries!$B:$B,A155,Entries!$R:$R))</f>
        <v/>
      </c>
    </row>
    <row r="156" customFormat="false" ht="15" hidden="false" customHeight="true" outlineLevel="0" collapsed="false">
      <c r="H156" s="22"/>
      <c r="I156" s="23"/>
      <c r="J156" s="23"/>
      <c r="K156" s="18" t="str">
        <f aca="false">IF(H156="","",H156*I156*J156)</f>
        <v/>
      </c>
      <c r="L156" s="24"/>
      <c r="P156" s="5" t="str">
        <f aca="false">IF(A156="","",COUNTIF(Entries!$B:$B,A156))</f>
        <v/>
      </c>
      <c r="Q156" s="18" t="str">
        <f aca="false">IF(A156="","",SUMIF(Entries!$B:$B,A156,Entries!$J:$J))</f>
        <v/>
      </c>
      <c r="R156" s="20" t="str">
        <f aca="false">IF(OR(A156="",P156=0),"",_xlfn.MINIFS(Entries!$N:$N,Entries!$B:$B,A156))</f>
        <v/>
      </c>
      <c r="S156" s="21" t="str">
        <f aca="false">IF(R156="","",R156-Assumptions!$D$5)</f>
        <v/>
      </c>
      <c r="T156" s="18" t="str">
        <f aca="false">IF(A156="","",SUMIF(Entries!$B:$B,A156,Entries!$P:$P))</f>
        <v/>
      </c>
      <c r="U156" s="18" t="str">
        <f aca="false">IF(A156="","",SUMIF(Entries!$B:$B,A156,Entries!$Q:$Q))</f>
        <v/>
      </c>
      <c r="V156" s="18" t="str">
        <f aca="false">IF(A156="","",SUMIF(Entries!$B:$B,A156,Entries!$R:$R))</f>
        <v/>
      </c>
    </row>
    <row r="157" customFormat="false" ht="15" hidden="false" customHeight="true" outlineLevel="0" collapsed="false">
      <c r="H157" s="22"/>
      <c r="I157" s="23"/>
      <c r="J157" s="23"/>
      <c r="K157" s="18" t="str">
        <f aca="false">IF(H157="","",H157*I157*J157)</f>
        <v/>
      </c>
      <c r="L157" s="24"/>
      <c r="P157" s="5" t="str">
        <f aca="false">IF(A157="","",COUNTIF(Entries!$B:$B,A157))</f>
        <v/>
      </c>
      <c r="Q157" s="18" t="str">
        <f aca="false">IF(A157="","",SUMIF(Entries!$B:$B,A157,Entries!$J:$J))</f>
        <v/>
      </c>
      <c r="R157" s="20" t="str">
        <f aca="false">IF(OR(A157="",P157=0),"",_xlfn.MINIFS(Entries!$N:$N,Entries!$B:$B,A157))</f>
        <v/>
      </c>
      <c r="S157" s="21" t="str">
        <f aca="false">IF(R157="","",R157-Assumptions!$D$5)</f>
        <v/>
      </c>
      <c r="T157" s="18" t="str">
        <f aca="false">IF(A157="","",SUMIF(Entries!$B:$B,A157,Entries!$P:$P))</f>
        <v/>
      </c>
      <c r="U157" s="18" t="str">
        <f aca="false">IF(A157="","",SUMIF(Entries!$B:$B,A157,Entries!$Q:$Q))</f>
        <v/>
      </c>
      <c r="V157" s="18" t="str">
        <f aca="false">IF(A157="","",SUMIF(Entries!$B:$B,A157,Entries!$R:$R))</f>
        <v/>
      </c>
    </row>
    <row r="158" customFormat="false" ht="15" hidden="false" customHeight="true" outlineLevel="0" collapsed="false">
      <c r="H158" s="22"/>
      <c r="I158" s="23"/>
      <c r="J158" s="23"/>
      <c r="K158" s="18" t="str">
        <f aca="false">IF(H158="","",H158*I158*J158)</f>
        <v/>
      </c>
      <c r="L158" s="24"/>
      <c r="P158" s="5" t="str">
        <f aca="false">IF(A158="","",COUNTIF(Entries!$B:$B,A158))</f>
        <v/>
      </c>
      <c r="Q158" s="18" t="str">
        <f aca="false">IF(A158="","",SUMIF(Entries!$B:$B,A158,Entries!$J:$J))</f>
        <v/>
      </c>
      <c r="R158" s="20" t="str">
        <f aca="false">IF(OR(A158="",P158=0),"",_xlfn.MINIFS(Entries!$N:$N,Entries!$B:$B,A158))</f>
        <v/>
      </c>
      <c r="S158" s="21" t="str">
        <f aca="false">IF(R158="","",R158-Assumptions!$D$5)</f>
        <v/>
      </c>
      <c r="T158" s="18" t="str">
        <f aca="false">IF(A158="","",SUMIF(Entries!$B:$B,A158,Entries!$P:$P))</f>
        <v/>
      </c>
      <c r="U158" s="18" t="str">
        <f aca="false">IF(A158="","",SUMIF(Entries!$B:$B,A158,Entries!$Q:$Q))</f>
        <v/>
      </c>
      <c r="V158" s="18" t="str">
        <f aca="false">IF(A158="","",SUMIF(Entries!$B:$B,A158,Entries!$R:$R))</f>
        <v/>
      </c>
    </row>
    <row r="159" customFormat="false" ht="15" hidden="false" customHeight="true" outlineLevel="0" collapsed="false">
      <c r="H159" s="22"/>
      <c r="I159" s="23"/>
      <c r="J159" s="23"/>
      <c r="K159" s="18" t="str">
        <f aca="false">IF(H159="","",H159*I159*J159)</f>
        <v/>
      </c>
      <c r="L159" s="24"/>
      <c r="P159" s="5" t="str">
        <f aca="false">IF(A159="","",COUNTIF(Entries!$B:$B,A159))</f>
        <v/>
      </c>
      <c r="Q159" s="18" t="str">
        <f aca="false">IF(A159="","",SUMIF(Entries!$B:$B,A159,Entries!$J:$J))</f>
        <v/>
      </c>
      <c r="R159" s="20" t="str">
        <f aca="false">IF(OR(A159="",P159=0),"",_xlfn.MINIFS(Entries!$N:$N,Entries!$B:$B,A159))</f>
        <v/>
      </c>
      <c r="S159" s="21" t="str">
        <f aca="false">IF(R159="","",R159-Assumptions!$D$5)</f>
        <v/>
      </c>
      <c r="T159" s="18" t="str">
        <f aca="false">IF(A159="","",SUMIF(Entries!$B:$B,A159,Entries!$P:$P))</f>
        <v/>
      </c>
      <c r="U159" s="18" t="str">
        <f aca="false">IF(A159="","",SUMIF(Entries!$B:$B,A159,Entries!$Q:$Q))</f>
        <v/>
      </c>
      <c r="V159" s="18" t="str">
        <f aca="false">IF(A159="","",SUMIF(Entries!$B:$B,A159,Entries!$R:$R))</f>
        <v/>
      </c>
    </row>
    <row r="160" customFormat="false" ht="15" hidden="false" customHeight="true" outlineLevel="0" collapsed="false">
      <c r="H160" s="22"/>
      <c r="I160" s="23"/>
      <c r="J160" s="23"/>
      <c r="K160" s="18" t="str">
        <f aca="false">IF(H160="","",H160*I160*J160)</f>
        <v/>
      </c>
      <c r="L160" s="24"/>
      <c r="P160" s="5" t="str">
        <f aca="false">IF(A160="","",COUNTIF(Entries!$B:$B,A160))</f>
        <v/>
      </c>
      <c r="Q160" s="18" t="str">
        <f aca="false">IF(A160="","",SUMIF(Entries!$B:$B,A160,Entries!$J:$J))</f>
        <v/>
      </c>
      <c r="R160" s="20" t="str">
        <f aca="false">IF(OR(A160="",P160=0),"",_xlfn.MINIFS(Entries!$N:$N,Entries!$B:$B,A160))</f>
        <v/>
      </c>
      <c r="S160" s="21" t="str">
        <f aca="false">IF(R160="","",R160-Assumptions!$D$5)</f>
        <v/>
      </c>
      <c r="T160" s="18" t="str">
        <f aca="false">IF(A160="","",SUMIF(Entries!$B:$B,A160,Entries!$P:$P))</f>
        <v/>
      </c>
      <c r="U160" s="18" t="str">
        <f aca="false">IF(A160="","",SUMIF(Entries!$B:$B,A160,Entries!$Q:$Q))</f>
        <v/>
      </c>
      <c r="V160" s="18" t="str">
        <f aca="false">IF(A160="","",SUMIF(Entries!$B:$B,A160,Entries!$R:$R))</f>
        <v/>
      </c>
    </row>
    <row r="161" customFormat="false" ht="15" hidden="false" customHeight="true" outlineLevel="0" collapsed="false">
      <c r="H161" s="22"/>
      <c r="I161" s="23"/>
      <c r="J161" s="23"/>
      <c r="K161" s="18" t="str">
        <f aca="false">IF(H161="","",H161*I161*J161)</f>
        <v/>
      </c>
      <c r="L161" s="24"/>
      <c r="P161" s="5" t="str">
        <f aca="false">IF(A161="","",COUNTIF(Entries!$B:$B,A161))</f>
        <v/>
      </c>
      <c r="Q161" s="18" t="str">
        <f aca="false">IF(A161="","",SUMIF(Entries!$B:$B,A161,Entries!$J:$J))</f>
        <v/>
      </c>
      <c r="R161" s="20" t="str">
        <f aca="false">IF(OR(A161="",P161=0),"",_xlfn.MINIFS(Entries!$N:$N,Entries!$B:$B,A161))</f>
        <v/>
      </c>
      <c r="S161" s="21" t="str">
        <f aca="false">IF(R161="","",R161-Assumptions!$D$5)</f>
        <v/>
      </c>
      <c r="T161" s="18" t="str">
        <f aca="false">IF(A161="","",SUMIF(Entries!$B:$B,A161,Entries!$P:$P))</f>
        <v/>
      </c>
      <c r="U161" s="18" t="str">
        <f aca="false">IF(A161="","",SUMIF(Entries!$B:$B,A161,Entries!$Q:$Q))</f>
        <v/>
      </c>
      <c r="V161" s="18" t="str">
        <f aca="false">IF(A161="","",SUMIF(Entries!$B:$B,A161,Entries!$R:$R))</f>
        <v/>
      </c>
    </row>
    <row r="162" customFormat="false" ht="15" hidden="false" customHeight="true" outlineLevel="0" collapsed="false">
      <c r="H162" s="22"/>
      <c r="I162" s="23"/>
      <c r="J162" s="23"/>
      <c r="K162" s="18" t="str">
        <f aca="false">IF(H162="","",H162*I162*J162)</f>
        <v/>
      </c>
      <c r="L162" s="24"/>
      <c r="P162" s="5" t="str">
        <f aca="false">IF(A162="","",COUNTIF(Entries!$B:$B,A162))</f>
        <v/>
      </c>
      <c r="Q162" s="18" t="str">
        <f aca="false">IF(A162="","",SUMIF(Entries!$B:$B,A162,Entries!$J:$J))</f>
        <v/>
      </c>
      <c r="R162" s="20" t="str">
        <f aca="false">IF(OR(A162="",P162=0),"",_xlfn.MINIFS(Entries!$N:$N,Entries!$B:$B,A162))</f>
        <v/>
      </c>
      <c r="S162" s="21" t="str">
        <f aca="false">IF(R162="","",R162-Assumptions!$D$5)</f>
        <v/>
      </c>
      <c r="T162" s="18" t="str">
        <f aca="false">IF(A162="","",SUMIF(Entries!$B:$B,A162,Entries!$P:$P))</f>
        <v/>
      </c>
      <c r="U162" s="18" t="str">
        <f aca="false">IF(A162="","",SUMIF(Entries!$B:$B,A162,Entries!$Q:$Q))</f>
        <v/>
      </c>
      <c r="V162" s="18" t="str">
        <f aca="false">IF(A162="","",SUMIF(Entries!$B:$B,A162,Entries!$R:$R))</f>
        <v/>
      </c>
    </row>
    <row r="163" customFormat="false" ht="15" hidden="false" customHeight="true" outlineLevel="0" collapsed="false">
      <c r="H163" s="22"/>
      <c r="I163" s="23"/>
      <c r="J163" s="23"/>
      <c r="K163" s="18" t="str">
        <f aca="false">IF(H163="","",H163*I163*J163)</f>
        <v/>
      </c>
      <c r="L163" s="24"/>
      <c r="P163" s="5" t="str">
        <f aca="false">IF(A163="","",COUNTIF(Entries!$B:$B,A163))</f>
        <v/>
      </c>
      <c r="Q163" s="18" t="str">
        <f aca="false">IF(A163="","",SUMIF(Entries!$B:$B,A163,Entries!$J:$J))</f>
        <v/>
      </c>
      <c r="R163" s="20" t="str">
        <f aca="false">IF(OR(A163="",P163=0),"",_xlfn.MINIFS(Entries!$N:$N,Entries!$B:$B,A163))</f>
        <v/>
      </c>
      <c r="S163" s="21" t="str">
        <f aca="false">IF(R163="","",R163-Assumptions!$D$5)</f>
        <v/>
      </c>
      <c r="T163" s="18" t="str">
        <f aca="false">IF(A163="","",SUMIF(Entries!$B:$B,A163,Entries!$P:$P))</f>
        <v/>
      </c>
      <c r="U163" s="18" t="str">
        <f aca="false">IF(A163="","",SUMIF(Entries!$B:$B,A163,Entries!$Q:$Q))</f>
        <v/>
      </c>
      <c r="V163" s="18" t="str">
        <f aca="false">IF(A163="","",SUMIF(Entries!$B:$B,A163,Entries!$R:$R))</f>
        <v/>
      </c>
    </row>
    <row r="164" customFormat="false" ht="15" hidden="false" customHeight="true" outlineLevel="0" collapsed="false">
      <c r="H164" s="22"/>
      <c r="I164" s="23"/>
      <c r="J164" s="23"/>
      <c r="K164" s="18" t="str">
        <f aca="false">IF(H164="","",H164*I164*J164)</f>
        <v/>
      </c>
      <c r="L164" s="24"/>
      <c r="P164" s="5" t="str">
        <f aca="false">IF(A164="","",COUNTIF(Entries!$B:$B,A164))</f>
        <v/>
      </c>
      <c r="Q164" s="18" t="str">
        <f aca="false">IF(A164="","",SUMIF(Entries!$B:$B,A164,Entries!$J:$J))</f>
        <v/>
      </c>
      <c r="R164" s="20" t="str">
        <f aca="false">IF(OR(A164="",P164=0),"",_xlfn.MINIFS(Entries!$N:$N,Entries!$B:$B,A164))</f>
        <v/>
      </c>
      <c r="S164" s="21" t="str">
        <f aca="false">IF(R164="","",R164-Assumptions!$D$5)</f>
        <v/>
      </c>
      <c r="T164" s="18" t="str">
        <f aca="false">IF(A164="","",SUMIF(Entries!$B:$B,A164,Entries!$P:$P))</f>
        <v/>
      </c>
      <c r="U164" s="18" t="str">
        <f aca="false">IF(A164="","",SUMIF(Entries!$B:$B,A164,Entries!$Q:$Q))</f>
        <v/>
      </c>
      <c r="V164" s="18" t="str">
        <f aca="false">IF(A164="","",SUMIF(Entries!$B:$B,A164,Entries!$R:$R))</f>
        <v/>
      </c>
    </row>
    <row r="165" customFormat="false" ht="15" hidden="false" customHeight="true" outlineLevel="0" collapsed="false">
      <c r="H165" s="22"/>
      <c r="I165" s="23"/>
      <c r="J165" s="23"/>
      <c r="K165" s="18" t="str">
        <f aca="false">IF(H165="","",H165*I165*J165)</f>
        <v/>
      </c>
      <c r="L165" s="24"/>
      <c r="P165" s="5" t="str">
        <f aca="false">IF(A165="","",COUNTIF(Entries!$B:$B,A165))</f>
        <v/>
      </c>
      <c r="Q165" s="18" t="str">
        <f aca="false">IF(A165="","",SUMIF(Entries!$B:$B,A165,Entries!$J:$J))</f>
        <v/>
      </c>
      <c r="R165" s="20" t="str">
        <f aca="false">IF(OR(A165="",P165=0),"",_xlfn.MINIFS(Entries!$N:$N,Entries!$B:$B,A165))</f>
        <v/>
      </c>
      <c r="S165" s="21" t="str">
        <f aca="false">IF(R165="","",R165-Assumptions!$D$5)</f>
        <v/>
      </c>
      <c r="T165" s="18" t="str">
        <f aca="false">IF(A165="","",SUMIF(Entries!$B:$B,A165,Entries!$P:$P))</f>
        <v/>
      </c>
      <c r="U165" s="18" t="str">
        <f aca="false">IF(A165="","",SUMIF(Entries!$B:$B,A165,Entries!$Q:$Q))</f>
        <v/>
      </c>
      <c r="V165" s="18" t="str">
        <f aca="false">IF(A165="","",SUMIF(Entries!$B:$B,A165,Entries!$R:$R))</f>
        <v/>
      </c>
    </row>
    <row r="166" customFormat="false" ht="15" hidden="false" customHeight="true" outlineLevel="0" collapsed="false">
      <c r="H166" s="22"/>
      <c r="I166" s="23"/>
      <c r="J166" s="23"/>
      <c r="K166" s="18" t="str">
        <f aca="false">IF(H166="","",H166*I166*J166)</f>
        <v/>
      </c>
      <c r="L166" s="24"/>
      <c r="P166" s="5" t="str">
        <f aca="false">IF(A166="","",COUNTIF(Entries!$B:$B,A166))</f>
        <v/>
      </c>
      <c r="Q166" s="18" t="str">
        <f aca="false">IF(A166="","",SUMIF(Entries!$B:$B,A166,Entries!$J:$J))</f>
        <v/>
      </c>
      <c r="R166" s="20" t="str">
        <f aca="false">IF(OR(A166="",P166=0),"",_xlfn.MINIFS(Entries!$N:$N,Entries!$B:$B,A166))</f>
        <v/>
      </c>
      <c r="S166" s="21" t="str">
        <f aca="false">IF(R166="","",R166-Assumptions!$D$5)</f>
        <v/>
      </c>
      <c r="T166" s="18" t="str">
        <f aca="false">IF(A166="","",SUMIF(Entries!$B:$B,A166,Entries!$P:$P))</f>
        <v/>
      </c>
      <c r="U166" s="18" t="str">
        <f aca="false">IF(A166="","",SUMIF(Entries!$B:$B,A166,Entries!$Q:$Q))</f>
        <v/>
      </c>
      <c r="V166" s="18" t="str">
        <f aca="false">IF(A166="","",SUMIF(Entries!$B:$B,A166,Entries!$R:$R))</f>
        <v/>
      </c>
    </row>
    <row r="167" customFormat="false" ht="15" hidden="false" customHeight="true" outlineLevel="0" collapsed="false">
      <c r="H167" s="22"/>
      <c r="I167" s="23"/>
      <c r="J167" s="23"/>
      <c r="K167" s="18" t="str">
        <f aca="false">IF(H167="","",H167*I167*J167)</f>
        <v/>
      </c>
      <c r="L167" s="24"/>
      <c r="P167" s="5" t="str">
        <f aca="false">IF(A167="","",COUNTIF(Entries!$B:$B,A167))</f>
        <v/>
      </c>
      <c r="Q167" s="18" t="str">
        <f aca="false">IF(A167="","",SUMIF(Entries!$B:$B,A167,Entries!$J:$J))</f>
        <v/>
      </c>
      <c r="R167" s="20" t="str">
        <f aca="false">IF(OR(A167="",P167=0),"",_xlfn.MINIFS(Entries!$N:$N,Entries!$B:$B,A167))</f>
        <v/>
      </c>
      <c r="S167" s="21" t="str">
        <f aca="false">IF(R167="","",R167-Assumptions!$D$5)</f>
        <v/>
      </c>
      <c r="T167" s="18" t="str">
        <f aca="false">IF(A167="","",SUMIF(Entries!$B:$B,A167,Entries!$P:$P))</f>
        <v/>
      </c>
      <c r="U167" s="18" t="str">
        <f aca="false">IF(A167="","",SUMIF(Entries!$B:$B,A167,Entries!$Q:$Q))</f>
        <v/>
      </c>
      <c r="V167" s="18" t="str">
        <f aca="false">IF(A167="","",SUMIF(Entries!$B:$B,A167,Entries!$R:$R))</f>
        <v/>
      </c>
    </row>
    <row r="168" customFormat="false" ht="15" hidden="false" customHeight="true" outlineLevel="0" collapsed="false">
      <c r="H168" s="22"/>
      <c r="I168" s="23"/>
      <c r="J168" s="23"/>
      <c r="K168" s="18" t="str">
        <f aca="false">IF(H168="","",H168*I168*J168)</f>
        <v/>
      </c>
      <c r="L168" s="24"/>
      <c r="P168" s="5" t="str">
        <f aca="false">IF(A168="","",COUNTIF(Entries!$B:$B,A168))</f>
        <v/>
      </c>
      <c r="Q168" s="18" t="str">
        <f aca="false">IF(A168="","",SUMIF(Entries!$B:$B,A168,Entries!$J:$J))</f>
        <v/>
      </c>
      <c r="R168" s="20" t="str">
        <f aca="false">IF(OR(A168="",P168=0),"",_xlfn.MINIFS(Entries!$N:$N,Entries!$B:$B,A168))</f>
        <v/>
      </c>
      <c r="S168" s="21" t="str">
        <f aca="false">IF(R168="","",R168-Assumptions!$D$5)</f>
        <v/>
      </c>
      <c r="T168" s="18" t="str">
        <f aca="false">IF(A168="","",SUMIF(Entries!$B:$B,A168,Entries!$P:$P))</f>
        <v/>
      </c>
      <c r="U168" s="18" t="str">
        <f aca="false">IF(A168="","",SUMIF(Entries!$B:$B,A168,Entries!$Q:$Q))</f>
        <v/>
      </c>
      <c r="V168" s="18" t="str">
        <f aca="false">IF(A168="","",SUMIF(Entries!$B:$B,A168,Entries!$R:$R))</f>
        <v/>
      </c>
    </row>
    <row r="169" customFormat="false" ht="15" hidden="false" customHeight="true" outlineLevel="0" collapsed="false">
      <c r="H169" s="22"/>
      <c r="I169" s="23"/>
      <c r="J169" s="23"/>
      <c r="K169" s="18" t="str">
        <f aca="false">IF(H169="","",H169*I169*J169)</f>
        <v/>
      </c>
      <c r="L169" s="24"/>
      <c r="P169" s="5" t="str">
        <f aca="false">IF(A169="","",COUNTIF(Entries!$B:$B,A169))</f>
        <v/>
      </c>
      <c r="Q169" s="18" t="str">
        <f aca="false">IF(A169="","",SUMIF(Entries!$B:$B,A169,Entries!$J:$J))</f>
        <v/>
      </c>
      <c r="R169" s="20" t="str">
        <f aca="false">IF(OR(A169="",P169=0),"",_xlfn.MINIFS(Entries!$N:$N,Entries!$B:$B,A169))</f>
        <v/>
      </c>
      <c r="S169" s="21" t="str">
        <f aca="false">IF(R169="","",R169-Assumptions!$D$5)</f>
        <v/>
      </c>
      <c r="T169" s="18" t="str">
        <f aca="false">IF(A169="","",SUMIF(Entries!$B:$B,A169,Entries!$P:$P))</f>
        <v/>
      </c>
      <c r="U169" s="18" t="str">
        <f aca="false">IF(A169="","",SUMIF(Entries!$B:$B,A169,Entries!$Q:$Q))</f>
        <v/>
      </c>
      <c r="V169" s="18" t="str">
        <f aca="false">IF(A169="","",SUMIF(Entries!$B:$B,A169,Entries!$R:$R))</f>
        <v/>
      </c>
    </row>
    <row r="170" customFormat="false" ht="15" hidden="false" customHeight="true" outlineLevel="0" collapsed="false">
      <c r="H170" s="22"/>
      <c r="I170" s="23"/>
      <c r="J170" s="23"/>
      <c r="K170" s="18" t="str">
        <f aca="false">IF(H170="","",H170*I170*J170)</f>
        <v/>
      </c>
      <c r="L170" s="24"/>
      <c r="P170" s="5" t="str">
        <f aca="false">IF(A170="","",COUNTIF(Entries!$B:$B,A170))</f>
        <v/>
      </c>
      <c r="Q170" s="18" t="str">
        <f aca="false">IF(A170="","",SUMIF(Entries!$B:$B,A170,Entries!$J:$J))</f>
        <v/>
      </c>
      <c r="R170" s="20" t="str">
        <f aca="false">IF(OR(A170="",P170=0),"",_xlfn.MINIFS(Entries!$N:$N,Entries!$B:$B,A170))</f>
        <v/>
      </c>
      <c r="S170" s="21" t="str">
        <f aca="false">IF(R170="","",R170-Assumptions!$D$5)</f>
        <v/>
      </c>
      <c r="T170" s="18" t="str">
        <f aca="false">IF(A170="","",SUMIF(Entries!$B:$B,A170,Entries!$P:$P))</f>
        <v/>
      </c>
      <c r="U170" s="18" t="str">
        <f aca="false">IF(A170="","",SUMIF(Entries!$B:$B,A170,Entries!$Q:$Q))</f>
        <v/>
      </c>
      <c r="V170" s="18" t="str">
        <f aca="false">IF(A170="","",SUMIF(Entries!$B:$B,A170,Entries!$R:$R))</f>
        <v/>
      </c>
    </row>
    <row r="171" customFormat="false" ht="15" hidden="false" customHeight="true" outlineLevel="0" collapsed="false">
      <c r="H171" s="22"/>
      <c r="I171" s="23"/>
      <c r="J171" s="23"/>
      <c r="K171" s="18" t="str">
        <f aca="false">IF(H171="","",H171*I171*J171)</f>
        <v/>
      </c>
      <c r="L171" s="24"/>
      <c r="P171" s="5" t="str">
        <f aca="false">IF(A171="","",COUNTIF(Entries!$B:$B,A171))</f>
        <v/>
      </c>
      <c r="Q171" s="18" t="str">
        <f aca="false">IF(A171="","",SUMIF(Entries!$B:$B,A171,Entries!$J:$J))</f>
        <v/>
      </c>
      <c r="R171" s="20" t="str">
        <f aca="false">IF(OR(A171="",P171=0),"",_xlfn.MINIFS(Entries!$N:$N,Entries!$B:$B,A171))</f>
        <v/>
      </c>
      <c r="S171" s="21" t="str">
        <f aca="false">IF(R171="","",R171-Assumptions!$D$5)</f>
        <v/>
      </c>
      <c r="T171" s="18" t="str">
        <f aca="false">IF(A171="","",SUMIF(Entries!$B:$B,A171,Entries!$P:$P))</f>
        <v/>
      </c>
      <c r="U171" s="18" t="str">
        <f aca="false">IF(A171="","",SUMIF(Entries!$B:$B,A171,Entries!$Q:$Q))</f>
        <v/>
      </c>
      <c r="V171" s="18" t="str">
        <f aca="false">IF(A171="","",SUMIF(Entries!$B:$B,A171,Entries!$R:$R))</f>
        <v/>
      </c>
    </row>
    <row r="172" customFormat="false" ht="15" hidden="false" customHeight="true" outlineLevel="0" collapsed="false">
      <c r="H172" s="22"/>
      <c r="I172" s="23"/>
      <c r="J172" s="23"/>
      <c r="K172" s="18" t="str">
        <f aca="false">IF(H172="","",H172*I172*J172)</f>
        <v/>
      </c>
      <c r="L172" s="24"/>
      <c r="P172" s="5" t="str">
        <f aca="false">IF(A172="","",COUNTIF(Entries!$B:$B,A172))</f>
        <v/>
      </c>
      <c r="Q172" s="18" t="str">
        <f aca="false">IF(A172="","",SUMIF(Entries!$B:$B,A172,Entries!$J:$J))</f>
        <v/>
      </c>
      <c r="R172" s="20" t="str">
        <f aca="false">IF(OR(A172="",P172=0),"",_xlfn.MINIFS(Entries!$N:$N,Entries!$B:$B,A172))</f>
        <v/>
      </c>
      <c r="S172" s="21" t="str">
        <f aca="false">IF(R172="","",R172-Assumptions!$D$5)</f>
        <v/>
      </c>
      <c r="T172" s="18" t="str">
        <f aca="false">IF(A172="","",SUMIF(Entries!$B:$B,A172,Entries!$P:$P))</f>
        <v/>
      </c>
      <c r="U172" s="18" t="str">
        <f aca="false">IF(A172="","",SUMIF(Entries!$B:$B,A172,Entries!$Q:$Q))</f>
        <v/>
      </c>
      <c r="V172" s="18" t="str">
        <f aca="false">IF(A172="","",SUMIF(Entries!$B:$B,A172,Entries!$R:$R))</f>
        <v/>
      </c>
    </row>
    <row r="173" customFormat="false" ht="15" hidden="false" customHeight="true" outlineLevel="0" collapsed="false">
      <c r="H173" s="22"/>
      <c r="I173" s="23"/>
      <c r="J173" s="23"/>
      <c r="K173" s="18" t="str">
        <f aca="false">IF(H173="","",H173*I173*J173)</f>
        <v/>
      </c>
      <c r="L173" s="24"/>
      <c r="P173" s="5" t="str">
        <f aca="false">IF(A173="","",COUNTIF(Entries!$B:$B,A173))</f>
        <v/>
      </c>
      <c r="Q173" s="18" t="str">
        <f aca="false">IF(A173="","",SUMIF(Entries!$B:$B,A173,Entries!$J:$J))</f>
        <v/>
      </c>
      <c r="R173" s="20" t="str">
        <f aca="false">IF(OR(A173="",P173=0),"",_xlfn.MINIFS(Entries!$N:$N,Entries!$B:$B,A173))</f>
        <v/>
      </c>
      <c r="S173" s="21" t="str">
        <f aca="false">IF(R173="","",R173-Assumptions!$D$5)</f>
        <v/>
      </c>
      <c r="T173" s="18" t="str">
        <f aca="false">IF(A173="","",SUMIF(Entries!$B:$B,A173,Entries!$P:$P))</f>
        <v/>
      </c>
      <c r="U173" s="18" t="str">
        <f aca="false">IF(A173="","",SUMIF(Entries!$B:$B,A173,Entries!$Q:$Q))</f>
        <v/>
      </c>
      <c r="V173" s="18" t="str">
        <f aca="false">IF(A173="","",SUMIF(Entries!$B:$B,A173,Entries!$R:$R))</f>
        <v/>
      </c>
    </row>
    <row r="174" customFormat="false" ht="15" hidden="false" customHeight="true" outlineLevel="0" collapsed="false">
      <c r="H174" s="22"/>
      <c r="I174" s="23"/>
      <c r="J174" s="23"/>
      <c r="K174" s="18" t="str">
        <f aca="false">IF(H174="","",H174*I174*J174)</f>
        <v/>
      </c>
      <c r="L174" s="24"/>
      <c r="P174" s="5" t="str">
        <f aca="false">IF(A174="","",COUNTIF(Entries!$B:$B,A174))</f>
        <v/>
      </c>
      <c r="Q174" s="18" t="str">
        <f aca="false">IF(A174="","",SUMIF(Entries!$B:$B,A174,Entries!$J:$J))</f>
        <v/>
      </c>
      <c r="R174" s="20" t="str">
        <f aca="false">IF(OR(A174="",P174=0),"",_xlfn.MINIFS(Entries!$N:$N,Entries!$B:$B,A174))</f>
        <v/>
      </c>
      <c r="S174" s="21" t="str">
        <f aca="false">IF(R174="","",R174-Assumptions!$D$5)</f>
        <v/>
      </c>
      <c r="T174" s="18" t="str">
        <f aca="false">IF(A174="","",SUMIF(Entries!$B:$B,A174,Entries!$P:$P))</f>
        <v/>
      </c>
      <c r="U174" s="18" t="str">
        <f aca="false">IF(A174="","",SUMIF(Entries!$B:$B,A174,Entries!$Q:$Q))</f>
        <v/>
      </c>
      <c r="V174" s="18" t="str">
        <f aca="false">IF(A174="","",SUMIF(Entries!$B:$B,A174,Entries!$R:$R))</f>
        <v/>
      </c>
    </row>
    <row r="175" customFormat="false" ht="15" hidden="false" customHeight="true" outlineLevel="0" collapsed="false">
      <c r="H175" s="22"/>
      <c r="I175" s="23"/>
      <c r="J175" s="23"/>
      <c r="K175" s="18" t="str">
        <f aca="false">IF(H175="","",H175*I175*J175)</f>
        <v/>
      </c>
      <c r="L175" s="24"/>
      <c r="P175" s="5" t="str">
        <f aca="false">IF(A175="","",COUNTIF(Entries!$B:$B,A175))</f>
        <v/>
      </c>
      <c r="Q175" s="18" t="str">
        <f aca="false">IF(A175="","",SUMIF(Entries!$B:$B,A175,Entries!$J:$J))</f>
        <v/>
      </c>
      <c r="R175" s="20" t="str">
        <f aca="false">IF(OR(A175="",P175=0),"",_xlfn.MINIFS(Entries!$N:$N,Entries!$B:$B,A175))</f>
        <v/>
      </c>
      <c r="S175" s="21" t="str">
        <f aca="false">IF(R175="","",R175-Assumptions!$D$5)</f>
        <v/>
      </c>
      <c r="T175" s="18" t="str">
        <f aca="false">IF(A175="","",SUMIF(Entries!$B:$B,A175,Entries!$P:$P))</f>
        <v/>
      </c>
      <c r="U175" s="18" t="str">
        <f aca="false">IF(A175="","",SUMIF(Entries!$B:$B,A175,Entries!$Q:$Q))</f>
        <v/>
      </c>
      <c r="V175" s="18" t="str">
        <f aca="false">IF(A175="","",SUMIF(Entries!$B:$B,A175,Entries!$R:$R))</f>
        <v/>
      </c>
    </row>
    <row r="176" customFormat="false" ht="15" hidden="false" customHeight="true" outlineLevel="0" collapsed="false">
      <c r="H176" s="22"/>
      <c r="I176" s="23"/>
      <c r="J176" s="23"/>
      <c r="K176" s="18" t="str">
        <f aca="false">IF(H176="","",H176*I176*J176)</f>
        <v/>
      </c>
      <c r="L176" s="24"/>
      <c r="P176" s="5" t="str">
        <f aca="false">IF(A176="","",COUNTIF(Entries!$B:$B,A176))</f>
        <v/>
      </c>
      <c r="Q176" s="18" t="str">
        <f aca="false">IF(A176="","",SUMIF(Entries!$B:$B,A176,Entries!$J:$J))</f>
        <v/>
      </c>
      <c r="R176" s="20" t="str">
        <f aca="false">IF(OR(A176="",P176=0),"",_xlfn.MINIFS(Entries!$N:$N,Entries!$B:$B,A176))</f>
        <v/>
      </c>
      <c r="S176" s="21" t="str">
        <f aca="false">IF(R176="","",R176-Assumptions!$D$5)</f>
        <v/>
      </c>
      <c r="T176" s="18" t="str">
        <f aca="false">IF(A176="","",SUMIF(Entries!$B:$B,A176,Entries!$P:$P))</f>
        <v/>
      </c>
      <c r="U176" s="18" t="str">
        <f aca="false">IF(A176="","",SUMIF(Entries!$B:$B,A176,Entries!$Q:$Q))</f>
        <v/>
      </c>
      <c r="V176" s="18" t="str">
        <f aca="false">IF(A176="","",SUMIF(Entries!$B:$B,A176,Entries!$R:$R))</f>
        <v/>
      </c>
    </row>
    <row r="177" customFormat="false" ht="15" hidden="false" customHeight="true" outlineLevel="0" collapsed="false">
      <c r="H177" s="22"/>
      <c r="I177" s="23"/>
      <c r="J177" s="23"/>
      <c r="K177" s="18" t="str">
        <f aca="false">IF(H177="","",H177*I177*J177)</f>
        <v/>
      </c>
      <c r="L177" s="24"/>
      <c r="P177" s="5" t="str">
        <f aca="false">IF(A177="","",COUNTIF(Entries!$B:$B,A177))</f>
        <v/>
      </c>
      <c r="Q177" s="18" t="str">
        <f aca="false">IF(A177="","",SUMIF(Entries!$B:$B,A177,Entries!$J:$J))</f>
        <v/>
      </c>
      <c r="R177" s="20" t="str">
        <f aca="false">IF(OR(A177="",P177=0),"",_xlfn.MINIFS(Entries!$N:$N,Entries!$B:$B,A177))</f>
        <v/>
      </c>
      <c r="S177" s="21" t="str">
        <f aca="false">IF(R177="","",R177-Assumptions!$D$5)</f>
        <v/>
      </c>
      <c r="T177" s="18" t="str">
        <f aca="false">IF(A177="","",SUMIF(Entries!$B:$B,A177,Entries!$P:$P))</f>
        <v/>
      </c>
      <c r="U177" s="18" t="str">
        <f aca="false">IF(A177="","",SUMIF(Entries!$B:$B,A177,Entries!$Q:$Q))</f>
        <v/>
      </c>
      <c r="V177" s="18" t="str">
        <f aca="false">IF(A177="","",SUMIF(Entries!$B:$B,A177,Entries!$R:$R))</f>
        <v/>
      </c>
    </row>
    <row r="178" customFormat="false" ht="15" hidden="false" customHeight="true" outlineLevel="0" collapsed="false">
      <c r="H178" s="22"/>
      <c r="I178" s="23"/>
      <c r="J178" s="23"/>
      <c r="K178" s="18" t="str">
        <f aca="false">IF(H178="","",H178*I178*J178)</f>
        <v/>
      </c>
      <c r="L178" s="24"/>
      <c r="P178" s="5" t="str">
        <f aca="false">IF(A178="","",COUNTIF(Entries!$B:$B,A178))</f>
        <v/>
      </c>
      <c r="Q178" s="18" t="str">
        <f aca="false">IF(A178="","",SUMIF(Entries!$B:$B,A178,Entries!$J:$J))</f>
        <v/>
      </c>
      <c r="R178" s="20" t="str">
        <f aca="false">IF(OR(A178="",P178=0),"",_xlfn.MINIFS(Entries!$N:$N,Entries!$B:$B,A178))</f>
        <v/>
      </c>
      <c r="S178" s="21" t="str">
        <f aca="false">IF(R178="","",R178-Assumptions!$D$5)</f>
        <v/>
      </c>
      <c r="T178" s="18" t="str">
        <f aca="false">IF(A178="","",SUMIF(Entries!$B:$B,A178,Entries!$P:$P))</f>
        <v/>
      </c>
      <c r="U178" s="18" t="str">
        <f aca="false">IF(A178="","",SUMIF(Entries!$B:$B,A178,Entries!$Q:$Q))</f>
        <v/>
      </c>
      <c r="V178" s="18" t="str">
        <f aca="false">IF(A178="","",SUMIF(Entries!$B:$B,A178,Entries!$R:$R))</f>
        <v/>
      </c>
    </row>
    <row r="179" customFormat="false" ht="15" hidden="false" customHeight="true" outlineLevel="0" collapsed="false">
      <c r="H179" s="22"/>
      <c r="I179" s="23"/>
      <c r="J179" s="23"/>
      <c r="K179" s="18" t="str">
        <f aca="false">IF(H179="","",H179*I179*J179)</f>
        <v/>
      </c>
      <c r="L179" s="24"/>
      <c r="P179" s="5" t="str">
        <f aca="false">IF(A179="","",COUNTIF(Entries!$B:$B,A179))</f>
        <v/>
      </c>
      <c r="Q179" s="18" t="str">
        <f aca="false">IF(A179="","",SUMIF(Entries!$B:$B,A179,Entries!$J:$J))</f>
        <v/>
      </c>
      <c r="R179" s="20" t="str">
        <f aca="false">IF(OR(A179="",P179=0),"",_xlfn.MINIFS(Entries!$N:$N,Entries!$B:$B,A179))</f>
        <v/>
      </c>
      <c r="S179" s="21" t="str">
        <f aca="false">IF(R179="","",R179-Assumptions!$D$5)</f>
        <v/>
      </c>
      <c r="T179" s="18" t="str">
        <f aca="false">IF(A179="","",SUMIF(Entries!$B:$B,A179,Entries!$P:$P))</f>
        <v/>
      </c>
      <c r="U179" s="18" t="str">
        <f aca="false">IF(A179="","",SUMIF(Entries!$B:$B,A179,Entries!$Q:$Q))</f>
        <v/>
      </c>
      <c r="V179" s="18" t="str">
        <f aca="false">IF(A179="","",SUMIF(Entries!$B:$B,A179,Entries!$R:$R))</f>
        <v/>
      </c>
    </row>
    <row r="180" customFormat="false" ht="15" hidden="false" customHeight="true" outlineLevel="0" collapsed="false">
      <c r="H180" s="22"/>
      <c r="I180" s="23"/>
      <c r="J180" s="23"/>
      <c r="K180" s="18" t="str">
        <f aca="false">IF(H180="","",H180*I180*J180)</f>
        <v/>
      </c>
      <c r="L180" s="24"/>
      <c r="P180" s="5" t="str">
        <f aca="false">IF(A180="","",COUNTIF(Entries!$B:$B,A180))</f>
        <v/>
      </c>
      <c r="Q180" s="18" t="str">
        <f aca="false">IF(A180="","",SUMIF(Entries!$B:$B,A180,Entries!$J:$J))</f>
        <v/>
      </c>
      <c r="R180" s="20" t="str">
        <f aca="false">IF(OR(A180="",P180=0),"",_xlfn.MINIFS(Entries!$N:$N,Entries!$B:$B,A180))</f>
        <v/>
      </c>
      <c r="S180" s="21" t="str">
        <f aca="false">IF(R180="","",R180-Assumptions!$D$5)</f>
        <v/>
      </c>
      <c r="T180" s="18" t="str">
        <f aca="false">IF(A180="","",SUMIF(Entries!$B:$B,A180,Entries!$P:$P))</f>
        <v/>
      </c>
      <c r="U180" s="18" t="str">
        <f aca="false">IF(A180="","",SUMIF(Entries!$B:$B,A180,Entries!$Q:$Q))</f>
        <v/>
      </c>
      <c r="V180" s="18" t="str">
        <f aca="false">IF(A180="","",SUMIF(Entries!$B:$B,A180,Entries!$R:$R))</f>
        <v/>
      </c>
    </row>
    <row r="181" customFormat="false" ht="15" hidden="false" customHeight="true" outlineLevel="0" collapsed="false">
      <c r="H181" s="22"/>
      <c r="I181" s="23"/>
      <c r="J181" s="23"/>
      <c r="K181" s="18" t="str">
        <f aca="false">IF(H181="","",H181*I181*J181)</f>
        <v/>
      </c>
      <c r="L181" s="24"/>
      <c r="P181" s="5" t="str">
        <f aca="false">IF(A181="","",COUNTIF(Entries!$B:$B,A181))</f>
        <v/>
      </c>
      <c r="Q181" s="18" t="str">
        <f aca="false">IF(A181="","",SUMIF(Entries!$B:$B,A181,Entries!$J:$J))</f>
        <v/>
      </c>
      <c r="R181" s="20" t="str">
        <f aca="false">IF(OR(A181="",P181=0),"",_xlfn.MINIFS(Entries!$N:$N,Entries!$B:$B,A181))</f>
        <v/>
      </c>
      <c r="S181" s="21" t="str">
        <f aca="false">IF(R181="","",R181-Assumptions!$D$5)</f>
        <v/>
      </c>
      <c r="T181" s="18" t="str">
        <f aca="false">IF(A181="","",SUMIF(Entries!$B:$B,A181,Entries!$P:$P))</f>
        <v/>
      </c>
      <c r="U181" s="18" t="str">
        <f aca="false">IF(A181="","",SUMIF(Entries!$B:$B,A181,Entries!$Q:$Q))</f>
        <v/>
      </c>
      <c r="V181" s="18" t="str">
        <f aca="false">IF(A181="","",SUMIF(Entries!$B:$B,A181,Entries!$R:$R))</f>
        <v/>
      </c>
    </row>
    <row r="182" customFormat="false" ht="15" hidden="false" customHeight="true" outlineLevel="0" collapsed="false">
      <c r="H182" s="22"/>
      <c r="I182" s="23"/>
      <c r="J182" s="23"/>
      <c r="K182" s="18" t="str">
        <f aca="false">IF(H182="","",H182*I182*J182)</f>
        <v/>
      </c>
      <c r="L182" s="24"/>
      <c r="P182" s="5" t="str">
        <f aca="false">IF(A182="","",COUNTIF(Entries!$B:$B,A182))</f>
        <v/>
      </c>
      <c r="Q182" s="18" t="str">
        <f aca="false">IF(A182="","",SUMIF(Entries!$B:$B,A182,Entries!$J:$J))</f>
        <v/>
      </c>
      <c r="R182" s="20" t="str">
        <f aca="false">IF(OR(A182="",P182=0),"",_xlfn.MINIFS(Entries!$N:$N,Entries!$B:$B,A182))</f>
        <v/>
      </c>
      <c r="S182" s="21" t="str">
        <f aca="false">IF(R182="","",R182-Assumptions!$D$5)</f>
        <v/>
      </c>
      <c r="T182" s="18" t="str">
        <f aca="false">IF(A182="","",SUMIF(Entries!$B:$B,A182,Entries!$P:$P))</f>
        <v/>
      </c>
      <c r="U182" s="18" t="str">
        <f aca="false">IF(A182="","",SUMIF(Entries!$B:$B,A182,Entries!$Q:$Q))</f>
        <v/>
      </c>
      <c r="V182" s="18" t="str">
        <f aca="false">IF(A182="","",SUMIF(Entries!$B:$B,A182,Entries!$R:$R))</f>
        <v/>
      </c>
    </row>
    <row r="183" customFormat="false" ht="15" hidden="false" customHeight="true" outlineLevel="0" collapsed="false">
      <c r="H183" s="22"/>
      <c r="I183" s="23"/>
      <c r="J183" s="23"/>
      <c r="K183" s="18" t="str">
        <f aca="false">IF(H183="","",H183*I183*J183)</f>
        <v/>
      </c>
      <c r="L183" s="24"/>
      <c r="P183" s="5" t="str">
        <f aca="false">IF(A183="","",COUNTIF(Entries!$B:$B,A183))</f>
        <v/>
      </c>
      <c r="Q183" s="18" t="str">
        <f aca="false">IF(A183="","",SUMIF(Entries!$B:$B,A183,Entries!$J:$J))</f>
        <v/>
      </c>
      <c r="R183" s="20" t="str">
        <f aca="false">IF(OR(A183="",P183=0),"",_xlfn.MINIFS(Entries!$N:$N,Entries!$B:$B,A183))</f>
        <v/>
      </c>
      <c r="S183" s="21" t="str">
        <f aca="false">IF(R183="","",R183-Assumptions!$D$5)</f>
        <v/>
      </c>
      <c r="T183" s="18" t="str">
        <f aca="false">IF(A183="","",SUMIF(Entries!$B:$B,A183,Entries!$P:$P))</f>
        <v/>
      </c>
      <c r="U183" s="18" t="str">
        <f aca="false">IF(A183="","",SUMIF(Entries!$B:$B,A183,Entries!$Q:$Q))</f>
        <v/>
      </c>
      <c r="V183" s="18" t="str">
        <f aca="false">IF(A183="","",SUMIF(Entries!$B:$B,A183,Entries!$R:$R))</f>
        <v/>
      </c>
    </row>
    <row r="184" customFormat="false" ht="15" hidden="false" customHeight="true" outlineLevel="0" collapsed="false">
      <c r="H184" s="22"/>
      <c r="I184" s="23"/>
      <c r="J184" s="23"/>
      <c r="K184" s="18" t="str">
        <f aca="false">IF(H184="","",H184*I184*J184)</f>
        <v/>
      </c>
      <c r="L184" s="24"/>
      <c r="P184" s="5" t="str">
        <f aca="false">IF(A184="","",COUNTIF(Entries!$B:$B,A184))</f>
        <v/>
      </c>
      <c r="Q184" s="18" t="str">
        <f aca="false">IF(A184="","",SUMIF(Entries!$B:$B,A184,Entries!$J:$J))</f>
        <v/>
      </c>
      <c r="R184" s="20" t="str">
        <f aca="false">IF(OR(A184="",P184=0),"",_xlfn.MINIFS(Entries!$N:$N,Entries!$B:$B,A184))</f>
        <v/>
      </c>
      <c r="S184" s="21" t="str">
        <f aca="false">IF(R184="","",R184-Assumptions!$D$5)</f>
        <v/>
      </c>
      <c r="T184" s="18" t="str">
        <f aca="false">IF(A184="","",SUMIF(Entries!$B:$B,A184,Entries!$P:$P))</f>
        <v/>
      </c>
      <c r="U184" s="18" t="str">
        <f aca="false">IF(A184="","",SUMIF(Entries!$B:$B,A184,Entries!$Q:$Q))</f>
        <v/>
      </c>
      <c r="V184" s="18" t="str">
        <f aca="false">IF(A184="","",SUMIF(Entries!$B:$B,A184,Entries!$R:$R))</f>
        <v/>
      </c>
    </row>
    <row r="185" customFormat="false" ht="15" hidden="false" customHeight="true" outlineLevel="0" collapsed="false">
      <c r="H185" s="22"/>
      <c r="I185" s="23"/>
      <c r="J185" s="23"/>
      <c r="K185" s="18" t="str">
        <f aca="false">IF(H185="","",H185*I185*J185)</f>
        <v/>
      </c>
      <c r="L185" s="24"/>
      <c r="P185" s="5" t="str">
        <f aca="false">IF(A185="","",COUNTIF(Entries!$B:$B,A185))</f>
        <v/>
      </c>
      <c r="Q185" s="18" t="str">
        <f aca="false">IF(A185="","",SUMIF(Entries!$B:$B,A185,Entries!$J:$J))</f>
        <v/>
      </c>
      <c r="R185" s="20" t="str">
        <f aca="false">IF(OR(A185="",P185=0),"",_xlfn.MINIFS(Entries!$N:$N,Entries!$B:$B,A185))</f>
        <v/>
      </c>
      <c r="S185" s="21" t="str">
        <f aca="false">IF(R185="","",R185-Assumptions!$D$5)</f>
        <v/>
      </c>
      <c r="T185" s="18" t="str">
        <f aca="false">IF(A185="","",SUMIF(Entries!$B:$B,A185,Entries!$P:$P))</f>
        <v/>
      </c>
      <c r="U185" s="18" t="str">
        <f aca="false">IF(A185="","",SUMIF(Entries!$B:$B,A185,Entries!$Q:$Q))</f>
        <v/>
      </c>
      <c r="V185" s="18" t="str">
        <f aca="false">IF(A185="","",SUMIF(Entries!$B:$B,A185,Entries!$R:$R))</f>
        <v/>
      </c>
    </row>
    <row r="186" customFormat="false" ht="15" hidden="false" customHeight="true" outlineLevel="0" collapsed="false">
      <c r="H186" s="22"/>
      <c r="I186" s="23"/>
      <c r="J186" s="23"/>
      <c r="K186" s="18" t="str">
        <f aca="false">IF(H186="","",H186*I186*J186)</f>
        <v/>
      </c>
      <c r="L186" s="24"/>
      <c r="P186" s="5" t="str">
        <f aca="false">IF(A186="","",COUNTIF(Entries!$B:$B,A186))</f>
        <v/>
      </c>
      <c r="Q186" s="18" t="str">
        <f aca="false">IF(A186="","",SUMIF(Entries!$B:$B,A186,Entries!$J:$J))</f>
        <v/>
      </c>
      <c r="R186" s="20" t="str">
        <f aca="false">IF(OR(A186="",P186=0),"",_xlfn.MINIFS(Entries!$N:$N,Entries!$B:$B,A186))</f>
        <v/>
      </c>
      <c r="S186" s="21" t="str">
        <f aca="false">IF(R186="","",R186-Assumptions!$D$5)</f>
        <v/>
      </c>
      <c r="T186" s="18" t="str">
        <f aca="false">IF(A186="","",SUMIF(Entries!$B:$B,A186,Entries!$P:$P))</f>
        <v/>
      </c>
      <c r="U186" s="18" t="str">
        <f aca="false">IF(A186="","",SUMIF(Entries!$B:$B,A186,Entries!$Q:$Q))</f>
        <v/>
      </c>
      <c r="V186" s="18" t="str">
        <f aca="false">IF(A186="","",SUMIF(Entries!$B:$B,A186,Entries!$R:$R))</f>
        <v/>
      </c>
    </row>
    <row r="187" customFormat="false" ht="15" hidden="false" customHeight="true" outlineLevel="0" collapsed="false">
      <c r="H187" s="22"/>
      <c r="I187" s="23"/>
      <c r="J187" s="23"/>
      <c r="K187" s="18" t="str">
        <f aca="false">IF(H187="","",H187*I187*J187)</f>
        <v/>
      </c>
      <c r="L187" s="24"/>
      <c r="P187" s="5" t="str">
        <f aca="false">IF(A187="","",COUNTIF(Entries!$B:$B,A187))</f>
        <v/>
      </c>
      <c r="Q187" s="18" t="str">
        <f aca="false">IF(A187="","",SUMIF(Entries!$B:$B,A187,Entries!$J:$J))</f>
        <v/>
      </c>
      <c r="R187" s="20" t="str">
        <f aca="false">IF(OR(A187="",P187=0),"",_xlfn.MINIFS(Entries!$N:$N,Entries!$B:$B,A187))</f>
        <v/>
      </c>
      <c r="S187" s="21" t="str">
        <f aca="false">IF(R187="","",R187-Assumptions!$D$5)</f>
        <v/>
      </c>
      <c r="T187" s="18" t="str">
        <f aca="false">IF(A187="","",SUMIF(Entries!$B:$B,A187,Entries!$P:$P))</f>
        <v/>
      </c>
      <c r="U187" s="18" t="str">
        <f aca="false">IF(A187="","",SUMIF(Entries!$B:$B,A187,Entries!$Q:$Q))</f>
        <v/>
      </c>
      <c r="V187" s="18" t="str">
        <f aca="false">IF(A187="","",SUMIF(Entries!$B:$B,A187,Entries!$R:$R))</f>
        <v/>
      </c>
    </row>
    <row r="188" customFormat="false" ht="15" hidden="false" customHeight="true" outlineLevel="0" collapsed="false">
      <c r="H188" s="22"/>
      <c r="I188" s="23"/>
      <c r="J188" s="23"/>
      <c r="K188" s="18" t="str">
        <f aca="false">IF(H188="","",H188*I188*J188)</f>
        <v/>
      </c>
      <c r="L188" s="24"/>
      <c r="P188" s="5" t="str">
        <f aca="false">IF(A188="","",COUNTIF(Entries!$B:$B,A188))</f>
        <v/>
      </c>
      <c r="Q188" s="18" t="str">
        <f aca="false">IF(A188="","",SUMIF(Entries!$B:$B,A188,Entries!$J:$J))</f>
        <v/>
      </c>
      <c r="R188" s="20" t="str">
        <f aca="false">IF(OR(A188="",P188=0),"",_xlfn.MINIFS(Entries!$N:$N,Entries!$B:$B,A188))</f>
        <v/>
      </c>
      <c r="S188" s="21" t="str">
        <f aca="false">IF(R188="","",R188-Assumptions!$D$5)</f>
        <v/>
      </c>
      <c r="T188" s="18" t="str">
        <f aca="false">IF(A188="","",SUMIF(Entries!$B:$B,A188,Entries!$P:$P))</f>
        <v/>
      </c>
      <c r="U188" s="18" t="str">
        <f aca="false">IF(A188="","",SUMIF(Entries!$B:$B,A188,Entries!$Q:$Q))</f>
        <v/>
      </c>
      <c r="V188" s="18" t="str">
        <f aca="false">IF(A188="","",SUMIF(Entries!$B:$B,A188,Entries!$R:$R))</f>
        <v/>
      </c>
    </row>
    <row r="189" customFormat="false" ht="15" hidden="false" customHeight="true" outlineLevel="0" collapsed="false">
      <c r="H189" s="22"/>
      <c r="I189" s="23"/>
      <c r="J189" s="23"/>
      <c r="K189" s="18" t="str">
        <f aca="false">IF(H189="","",H189*I189*J189)</f>
        <v/>
      </c>
      <c r="L189" s="24"/>
      <c r="P189" s="5" t="str">
        <f aca="false">IF(A189="","",COUNTIF(Entries!$B:$B,A189))</f>
        <v/>
      </c>
      <c r="Q189" s="18" t="str">
        <f aca="false">IF(A189="","",SUMIF(Entries!$B:$B,A189,Entries!$J:$J))</f>
        <v/>
      </c>
      <c r="R189" s="20" t="str">
        <f aca="false">IF(OR(A189="",P189=0),"",_xlfn.MINIFS(Entries!$N:$N,Entries!$B:$B,A189))</f>
        <v/>
      </c>
      <c r="S189" s="21" t="str">
        <f aca="false">IF(R189="","",R189-Assumptions!$D$5)</f>
        <v/>
      </c>
      <c r="T189" s="18" t="str">
        <f aca="false">IF(A189="","",SUMIF(Entries!$B:$B,A189,Entries!$P:$P))</f>
        <v/>
      </c>
      <c r="U189" s="18" t="str">
        <f aca="false">IF(A189="","",SUMIF(Entries!$B:$B,A189,Entries!$Q:$Q))</f>
        <v/>
      </c>
      <c r="V189" s="18" t="str">
        <f aca="false">IF(A189="","",SUMIF(Entries!$B:$B,A189,Entries!$R:$R))</f>
        <v/>
      </c>
    </row>
    <row r="190" customFormat="false" ht="15" hidden="false" customHeight="true" outlineLevel="0" collapsed="false">
      <c r="H190" s="22"/>
      <c r="I190" s="23"/>
      <c r="J190" s="23"/>
      <c r="K190" s="18" t="str">
        <f aca="false">IF(H190="","",H190*I190*J190)</f>
        <v/>
      </c>
      <c r="L190" s="24"/>
      <c r="P190" s="5" t="str">
        <f aca="false">IF(A190="","",COUNTIF(Entries!$B:$B,A190))</f>
        <v/>
      </c>
      <c r="Q190" s="18" t="str">
        <f aca="false">IF(A190="","",SUMIF(Entries!$B:$B,A190,Entries!$J:$J))</f>
        <v/>
      </c>
      <c r="R190" s="20" t="str">
        <f aca="false">IF(OR(A190="",P190=0),"",_xlfn.MINIFS(Entries!$N:$N,Entries!$B:$B,A190))</f>
        <v/>
      </c>
      <c r="S190" s="21" t="str">
        <f aca="false">IF(R190="","",R190-Assumptions!$D$5)</f>
        <v/>
      </c>
      <c r="T190" s="18" t="str">
        <f aca="false">IF(A190="","",SUMIF(Entries!$B:$B,A190,Entries!$P:$P))</f>
        <v/>
      </c>
      <c r="U190" s="18" t="str">
        <f aca="false">IF(A190="","",SUMIF(Entries!$B:$B,A190,Entries!$Q:$Q))</f>
        <v/>
      </c>
      <c r="V190" s="18" t="str">
        <f aca="false">IF(A190="","",SUMIF(Entries!$B:$B,A190,Entries!$R:$R))</f>
        <v/>
      </c>
    </row>
    <row r="191" customFormat="false" ht="15" hidden="false" customHeight="true" outlineLevel="0" collapsed="false">
      <c r="H191" s="22"/>
      <c r="I191" s="23"/>
      <c r="J191" s="23"/>
      <c r="K191" s="18" t="str">
        <f aca="false">IF(H191="","",H191*I191*J191)</f>
        <v/>
      </c>
      <c r="L191" s="24"/>
      <c r="P191" s="5" t="str">
        <f aca="false">IF(A191="","",COUNTIF(Entries!$B:$B,A191))</f>
        <v/>
      </c>
      <c r="Q191" s="18" t="str">
        <f aca="false">IF(A191="","",SUMIF(Entries!$B:$B,A191,Entries!$J:$J))</f>
        <v/>
      </c>
      <c r="R191" s="20" t="str">
        <f aca="false">IF(OR(A191="",P191=0),"",_xlfn.MINIFS(Entries!$N:$N,Entries!$B:$B,A191))</f>
        <v/>
      </c>
      <c r="S191" s="21" t="str">
        <f aca="false">IF(R191="","",R191-Assumptions!$D$5)</f>
        <v/>
      </c>
      <c r="T191" s="18" t="str">
        <f aca="false">IF(A191="","",SUMIF(Entries!$B:$B,A191,Entries!$P:$P))</f>
        <v/>
      </c>
      <c r="U191" s="18" t="str">
        <f aca="false">IF(A191="","",SUMIF(Entries!$B:$B,A191,Entries!$Q:$Q))</f>
        <v/>
      </c>
      <c r="V191" s="18" t="str">
        <f aca="false">IF(A191="","",SUMIF(Entries!$B:$B,A191,Entries!$R:$R))</f>
        <v/>
      </c>
    </row>
    <row r="192" customFormat="false" ht="15" hidden="false" customHeight="true" outlineLevel="0" collapsed="false">
      <c r="H192" s="22"/>
      <c r="I192" s="23"/>
      <c r="J192" s="23"/>
      <c r="K192" s="18" t="str">
        <f aca="false">IF(H192="","",H192*I192*J192)</f>
        <v/>
      </c>
      <c r="L192" s="24"/>
      <c r="P192" s="5" t="str">
        <f aca="false">IF(A192="","",COUNTIF(Entries!$B:$B,A192))</f>
        <v/>
      </c>
      <c r="Q192" s="18" t="str">
        <f aca="false">IF(A192="","",SUMIF(Entries!$B:$B,A192,Entries!$J:$J))</f>
        <v/>
      </c>
      <c r="R192" s="20" t="str">
        <f aca="false">IF(OR(A192="",P192=0),"",_xlfn.MINIFS(Entries!$N:$N,Entries!$B:$B,A192))</f>
        <v/>
      </c>
      <c r="S192" s="21" t="str">
        <f aca="false">IF(R192="","",R192-Assumptions!$D$5)</f>
        <v/>
      </c>
      <c r="T192" s="18" t="str">
        <f aca="false">IF(A192="","",SUMIF(Entries!$B:$B,A192,Entries!$P:$P))</f>
        <v/>
      </c>
      <c r="U192" s="18" t="str">
        <f aca="false">IF(A192="","",SUMIF(Entries!$B:$B,A192,Entries!$Q:$Q))</f>
        <v/>
      </c>
      <c r="V192" s="18" t="str">
        <f aca="false">IF(A192="","",SUMIF(Entries!$B:$B,A192,Entries!$R:$R))</f>
        <v/>
      </c>
    </row>
    <row r="193" customFormat="false" ht="15" hidden="false" customHeight="true" outlineLevel="0" collapsed="false">
      <c r="H193" s="22"/>
      <c r="I193" s="23"/>
      <c r="J193" s="23"/>
      <c r="K193" s="18" t="str">
        <f aca="false">IF(H193="","",H193*I193*J193)</f>
        <v/>
      </c>
      <c r="L193" s="24"/>
      <c r="P193" s="5" t="str">
        <f aca="false">IF(A193="","",COUNTIF(Entries!$B:$B,A193))</f>
        <v/>
      </c>
      <c r="Q193" s="18" t="str">
        <f aca="false">IF(A193="","",SUMIF(Entries!$B:$B,A193,Entries!$J:$J))</f>
        <v/>
      </c>
      <c r="R193" s="20" t="str">
        <f aca="false">IF(OR(A193="",P193=0),"",_xlfn.MINIFS(Entries!$N:$N,Entries!$B:$B,A193))</f>
        <v/>
      </c>
      <c r="S193" s="21" t="str">
        <f aca="false">IF(R193="","",R193-Assumptions!$D$5)</f>
        <v/>
      </c>
      <c r="T193" s="18" t="str">
        <f aca="false">IF(A193="","",SUMIF(Entries!$B:$B,A193,Entries!$P:$P))</f>
        <v/>
      </c>
      <c r="U193" s="18" t="str">
        <f aca="false">IF(A193="","",SUMIF(Entries!$B:$B,A193,Entries!$Q:$Q))</f>
        <v/>
      </c>
      <c r="V193" s="18" t="str">
        <f aca="false">IF(A193="","",SUMIF(Entries!$B:$B,A193,Entries!$R:$R))</f>
        <v/>
      </c>
    </row>
    <row r="194" customFormat="false" ht="15" hidden="false" customHeight="true" outlineLevel="0" collapsed="false">
      <c r="H194" s="22"/>
      <c r="I194" s="23"/>
      <c r="J194" s="23"/>
      <c r="K194" s="18" t="str">
        <f aca="false">IF(H194="","",H194*I194*J194)</f>
        <v/>
      </c>
      <c r="L194" s="24"/>
      <c r="P194" s="5" t="str">
        <f aca="false">IF(A194="","",COUNTIF(Entries!$B:$B,A194))</f>
        <v/>
      </c>
      <c r="Q194" s="18" t="str">
        <f aca="false">IF(A194="","",SUMIF(Entries!$B:$B,A194,Entries!$J:$J))</f>
        <v/>
      </c>
      <c r="R194" s="20" t="str">
        <f aca="false">IF(OR(A194="",P194=0),"",_xlfn.MINIFS(Entries!$N:$N,Entries!$B:$B,A194))</f>
        <v/>
      </c>
      <c r="S194" s="21" t="str">
        <f aca="false">IF(R194="","",R194-Assumptions!$D$5)</f>
        <v/>
      </c>
      <c r="T194" s="18" t="str">
        <f aca="false">IF(A194="","",SUMIF(Entries!$B:$B,A194,Entries!$P:$P))</f>
        <v/>
      </c>
      <c r="U194" s="18" t="str">
        <f aca="false">IF(A194="","",SUMIF(Entries!$B:$B,A194,Entries!$Q:$Q))</f>
        <v/>
      </c>
      <c r="V194" s="18" t="str">
        <f aca="false">IF(A194="","",SUMIF(Entries!$B:$B,A194,Entries!$R:$R))</f>
        <v/>
      </c>
    </row>
    <row r="195" customFormat="false" ht="15" hidden="false" customHeight="true" outlineLevel="0" collapsed="false">
      <c r="H195" s="22"/>
      <c r="I195" s="23"/>
      <c r="J195" s="23"/>
      <c r="K195" s="18" t="str">
        <f aca="false">IF(H195="","",H195*I195*J195)</f>
        <v/>
      </c>
      <c r="L195" s="24"/>
      <c r="P195" s="5" t="str">
        <f aca="false">IF(A195="","",COUNTIF(Entries!$B:$B,A195))</f>
        <v/>
      </c>
      <c r="Q195" s="18" t="str">
        <f aca="false">IF(A195="","",SUMIF(Entries!$B:$B,A195,Entries!$J:$J))</f>
        <v/>
      </c>
      <c r="R195" s="20" t="str">
        <f aca="false">IF(OR(A195="",P195=0),"",_xlfn.MINIFS(Entries!$N:$N,Entries!$B:$B,A195))</f>
        <v/>
      </c>
      <c r="S195" s="21" t="str">
        <f aca="false">IF(R195="","",R195-Assumptions!$D$5)</f>
        <v/>
      </c>
      <c r="T195" s="18" t="str">
        <f aca="false">IF(A195="","",SUMIF(Entries!$B:$B,A195,Entries!$P:$P))</f>
        <v/>
      </c>
      <c r="U195" s="18" t="str">
        <f aca="false">IF(A195="","",SUMIF(Entries!$B:$B,A195,Entries!$Q:$Q))</f>
        <v/>
      </c>
      <c r="V195" s="18" t="str">
        <f aca="false">IF(A195="","",SUMIF(Entries!$B:$B,A195,Entries!$R:$R))</f>
        <v/>
      </c>
    </row>
    <row r="196" customFormat="false" ht="15" hidden="false" customHeight="true" outlineLevel="0" collapsed="false">
      <c r="H196" s="22"/>
      <c r="I196" s="23"/>
      <c r="J196" s="23"/>
      <c r="K196" s="18" t="str">
        <f aca="false">IF(H196="","",H196*I196*J196)</f>
        <v/>
      </c>
      <c r="L196" s="24"/>
      <c r="P196" s="5" t="str">
        <f aca="false">IF(A196="","",COUNTIF(Entries!$B:$B,A196))</f>
        <v/>
      </c>
      <c r="Q196" s="18" t="str">
        <f aca="false">IF(A196="","",SUMIF(Entries!$B:$B,A196,Entries!$J:$J))</f>
        <v/>
      </c>
      <c r="R196" s="20" t="str">
        <f aca="false">IF(OR(A196="",P196=0),"",_xlfn.MINIFS(Entries!$N:$N,Entries!$B:$B,A196))</f>
        <v/>
      </c>
      <c r="S196" s="21" t="str">
        <f aca="false">IF(R196="","",R196-Assumptions!$D$5)</f>
        <v/>
      </c>
      <c r="T196" s="18" t="str">
        <f aca="false">IF(A196="","",SUMIF(Entries!$B:$B,A196,Entries!$P:$P))</f>
        <v/>
      </c>
      <c r="U196" s="18" t="str">
        <f aca="false">IF(A196="","",SUMIF(Entries!$B:$B,A196,Entries!$Q:$Q))</f>
        <v/>
      </c>
      <c r="V196" s="18" t="str">
        <f aca="false">IF(A196="","",SUMIF(Entries!$B:$B,A196,Entries!$R:$R))</f>
        <v/>
      </c>
    </row>
    <row r="197" customFormat="false" ht="15" hidden="false" customHeight="true" outlineLevel="0" collapsed="false">
      <c r="H197" s="22"/>
      <c r="I197" s="23"/>
      <c r="J197" s="23"/>
      <c r="K197" s="18" t="str">
        <f aca="false">IF(H197="","",H197*I197*J197)</f>
        <v/>
      </c>
      <c r="L197" s="24"/>
      <c r="P197" s="5" t="str">
        <f aca="false">IF(A197="","",COUNTIF(Entries!$B:$B,A197))</f>
        <v/>
      </c>
      <c r="Q197" s="18" t="str">
        <f aca="false">IF(A197="","",SUMIF(Entries!$B:$B,A197,Entries!$J:$J))</f>
        <v/>
      </c>
      <c r="R197" s="20" t="str">
        <f aca="false">IF(OR(A197="",P197=0),"",_xlfn.MINIFS(Entries!$N:$N,Entries!$B:$B,A197))</f>
        <v/>
      </c>
      <c r="S197" s="21" t="str">
        <f aca="false">IF(R197="","",R197-Assumptions!$D$5)</f>
        <v/>
      </c>
      <c r="T197" s="18" t="str">
        <f aca="false">IF(A197="","",SUMIF(Entries!$B:$B,A197,Entries!$P:$P))</f>
        <v/>
      </c>
      <c r="U197" s="18" t="str">
        <f aca="false">IF(A197="","",SUMIF(Entries!$B:$B,A197,Entries!$Q:$Q))</f>
        <v/>
      </c>
      <c r="V197" s="18" t="str">
        <f aca="false">IF(A197="","",SUMIF(Entries!$B:$B,A197,Entries!$R:$R))</f>
        <v/>
      </c>
    </row>
    <row r="198" customFormat="false" ht="15" hidden="false" customHeight="true" outlineLevel="0" collapsed="false">
      <c r="H198" s="22"/>
      <c r="I198" s="23"/>
      <c r="J198" s="23"/>
      <c r="K198" s="18" t="str">
        <f aca="false">IF(H198="","",H198*I198*J198)</f>
        <v/>
      </c>
      <c r="L198" s="24"/>
      <c r="P198" s="5" t="str">
        <f aca="false">IF(A198="","",COUNTIF(Entries!$B:$B,A198))</f>
        <v/>
      </c>
      <c r="Q198" s="18" t="str">
        <f aca="false">IF(A198="","",SUMIF(Entries!$B:$B,A198,Entries!$J:$J))</f>
        <v/>
      </c>
      <c r="R198" s="20" t="str">
        <f aca="false">IF(OR(A198="",P198=0),"",_xlfn.MINIFS(Entries!$N:$N,Entries!$B:$B,A198))</f>
        <v/>
      </c>
      <c r="S198" s="21" t="str">
        <f aca="false">IF(R198="","",R198-Assumptions!$D$5)</f>
        <v/>
      </c>
      <c r="T198" s="18" t="str">
        <f aca="false">IF(A198="","",SUMIF(Entries!$B:$B,A198,Entries!$P:$P))</f>
        <v/>
      </c>
      <c r="U198" s="18" t="str">
        <f aca="false">IF(A198="","",SUMIF(Entries!$B:$B,A198,Entries!$Q:$Q))</f>
        <v/>
      </c>
      <c r="V198" s="18" t="str">
        <f aca="false">IF(A198="","",SUMIF(Entries!$B:$B,A198,Entries!$R:$R))</f>
        <v/>
      </c>
    </row>
    <row r="199" customFormat="false" ht="15" hidden="false" customHeight="true" outlineLevel="0" collapsed="false">
      <c r="H199" s="22"/>
      <c r="I199" s="23"/>
      <c r="J199" s="23"/>
      <c r="K199" s="18" t="str">
        <f aca="false">IF(H199="","",H199*I199*J199)</f>
        <v/>
      </c>
      <c r="L199" s="24"/>
      <c r="P199" s="5" t="str">
        <f aca="false">IF(A199="","",COUNTIF(Entries!$B:$B,A199))</f>
        <v/>
      </c>
      <c r="Q199" s="18" t="str">
        <f aca="false">IF(A199="","",SUMIF(Entries!$B:$B,A199,Entries!$J:$J))</f>
        <v/>
      </c>
      <c r="R199" s="20" t="str">
        <f aca="false">IF(OR(A199="",P199=0),"",_xlfn.MINIFS(Entries!$N:$N,Entries!$B:$B,A199))</f>
        <v/>
      </c>
      <c r="S199" s="21" t="str">
        <f aca="false">IF(R199="","",R199-Assumptions!$D$5)</f>
        <v/>
      </c>
      <c r="T199" s="18" t="str">
        <f aca="false">IF(A199="","",SUMIF(Entries!$B:$B,A199,Entries!$P:$P))</f>
        <v/>
      </c>
      <c r="U199" s="18" t="str">
        <f aca="false">IF(A199="","",SUMIF(Entries!$B:$B,A199,Entries!$Q:$Q))</f>
        <v/>
      </c>
      <c r="V199" s="18" t="str">
        <f aca="false">IF(A199="","",SUMIF(Entries!$B:$B,A199,Entries!$R:$R))</f>
        <v/>
      </c>
    </row>
    <row r="200" customFormat="false" ht="15" hidden="false" customHeight="true" outlineLevel="0" collapsed="false">
      <c r="H200" s="22"/>
      <c r="I200" s="23"/>
      <c r="J200" s="23"/>
      <c r="K200" s="18" t="str">
        <f aca="false">IF(H200="","",H200*I200*J200)</f>
        <v/>
      </c>
      <c r="L200" s="24"/>
      <c r="P200" s="5" t="str">
        <f aca="false">IF(A200="","",COUNTIF(Entries!$B:$B,A200))</f>
        <v/>
      </c>
      <c r="Q200" s="18" t="str">
        <f aca="false">IF(A200="","",SUMIF(Entries!$B:$B,A200,Entries!$J:$J))</f>
        <v/>
      </c>
      <c r="R200" s="20" t="str">
        <f aca="false">IF(OR(A200="",P200=0),"",_xlfn.MINIFS(Entries!$N:$N,Entries!$B:$B,A200))</f>
        <v/>
      </c>
      <c r="S200" s="21" t="str">
        <f aca="false">IF(R200="","",R200-Assumptions!$D$5)</f>
        <v/>
      </c>
      <c r="T200" s="18" t="str">
        <f aca="false">IF(A200="","",SUMIF(Entries!$B:$B,A200,Entries!$P:$P))</f>
        <v/>
      </c>
      <c r="U200" s="18" t="str">
        <f aca="false">IF(A200="","",SUMIF(Entries!$B:$B,A200,Entries!$Q:$Q))</f>
        <v/>
      </c>
      <c r="V200" s="18" t="str">
        <f aca="false">IF(A200="","",SUMIF(Entries!$B:$B,A200,Entries!$R:$R))</f>
        <v/>
      </c>
    </row>
  </sheetData>
  <conditionalFormatting sqref="S2:S200">
    <cfRule type="cellIs" priority="2" operator="lessThan" aboveAverage="0" equalAverage="0" bottom="0" percent="0" rank="0" text="" dxfId="0">
      <formula>Assumptions!$B$17</formula>
    </cfRule>
    <cfRule type="cellIs" priority="3" operator="lessThan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G2:G500" type="list">
      <formula1>"Lead,Qualified,Engaged,Data in,Findings sent,Filed,Refunded,Closed-no claim"</formula1>
      <formula2>0</formula2>
    </dataValidation>
    <dataValidation allowBlank="true" errorStyle="stop" operator="between" showDropDown="false" showErrorMessage="false" showInputMessage="false" sqref="C2:C500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26"/>
    <col collapsed="false" customWidth="true" hidden="false" outlineLevel="0" max="14" min="13" style="1" width="13"/>
    <col collapsed="false" customWidth="true" hidden="false" outlineLevel="0" max="15" min="15" style="1" width="10"/>
    <col collapsed="false" customWidth="true" hidden="false" outlineLevel="0" max="17" min="16" style="1" width="13"/>
    <col collapsed="false" customWidth="true" hidden="false" outlineLevel="0" max="20" min="18" style="1" width="12"/>
    <col collapsed="false" customWidth="true" hidden="false" outlineLevel="0" max="21" min="21" style="1" width="40"/>
  </cols>
  <sheetData>
    <row r="1" customFormat="false" ht="42" hidden="false" customHeight="true" outlineLevel="0" collapsed="false">
      <c r="A1" s="14" t="s">
        <v>82</v>
      </c>
      <c r="B1" s="14" t="s">
        <v>49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68</v>
      </c>
      <c r="Q1" s="14" t="s">
        <v>69</v>
      </c>
      <c r="R1" s="14" t="s">
        <v>96</v>
      </c>
      <c r="S1" s="14" t="s">
        <v>97</v>
      </c>
      <c r="T1" s="14" t="s">
        <v>98</v>
      </c>
      <c r="U1" s="14" t="s">
        <v>71</v>
      </c>
    </row>
    <row r="2" customFormat="false" ht="15" hidden="false" customHeight="true" outlineLevel="0" collapsed="false">
      <c r="A2" s="15" t="s">
        <v>99</v>
      </c>
      <c r="B2" s="15" t="s">
        <v>72</v>
      </c>
      <c r="C2" s="19" t="n">
        <v>45730</v>
      </c>
      <c r="D2" s="15" t="s">
        <v>100</v>
      </c>
      <c r="E2" s="15" t="s">
        <v>101</v>
      </c>
      <c r="F2" s="16" t="n">
        <v>180000</v>
      </c>
      <c r="G2" s="17" t="n">
        <v>0.25</v>
      </c>
      <c r="H2" s="19" t="n">
        <v>46044</v>
      </c>
      <c r="I2" s="15" t="s">
        <v>80</v>
      </c>
      <c r="J2" s="18" t="n">
        <f aca="false">IF(F2="","",F2*G2)</f>
        <v>45000</v>
      </c>
      <c r="K2" s="5" t="n">
        <f aca="false">IF(A2="","",IF(H2&lt;&gt;"",Assumptions!$D$5-H2,IF(C2="","",Assumptions!$D$5-(C2+Assumptions!$B$8))))</f>
        <v>235</v>
      </c>
      <c r="L2" s="5" t="str">
        <f aca="false">IF(K2="","",IF(K2&lt;0,"Phase 1 (unliquidated)",IF(K2&lt;=Assumptions!$B$7,"Phase 1 (recently liquidated)",IF(K2&lt;=Assumptions!$B$6,"Protest required","Deadline passed — litigation only"))))</f>
        <v>Deadline passed — litigation only</v>
      </c>
      <c r="M2" s="20" t="n">
        <f aca="false">IF(K2="","",IF(H2&lt;&gt;"",H2+Assumptions!$B$6,C2+Assumptions!$B$8+Assumptions!$B$6))</f>
        <v>46224</v>
      </c>
      <c r="N2" s="20" t="n">
        <f aca="false">IF(K2="","",IF(K2&lt;0,IF(H2&lt;&gt;"",H2+Assumptions!$B$7,C2+Assumptions!$B$8+Assumptions!$B$7),M2))</f>
        <v>46224</v>
      </c>
      <c r="O2" s="21" t="n">
        <f aca="false">IF(N2="","",N2-Assumptions!$D$5)</f>
        <v>-55</v>
      </c>
      <c r="P2" s="16"/>
      <c r="Q2" s="16"/>
      <c r="R2" s="18" t="str">
        <f aca="false">IF(Q2="","",Q2*IF(LEFT(L2,7)="Phase 1",Assumptions!$B$11,Assumptions!$B$12))</f>
        <v/>
      </c>
      <c r="S2" s="15" t="s">
        <v>102</v>
      </c>
      <c r="T2" s="15"/>
      <c r="U2" s="15" t="s">
        <v>103</v>
      </c>
    </row>
    <row r="3" customFormat="false" ht="15" hidden="false" customHeight="true" outlineLevel="0" collapsed="false">
      <c r="A3" s="15" t="s">
        <v>104</v>
      </c>
      <c r="B3" s="15" t="s">
        <v>72</v>
      </c>
      <c r="C3" s="19" t="n">
        <v>45903</v>
      </c>
      <c r="D3" s="15" t="s">
        <v>100</v>
      </c>
      <c r="E3" s="15" t="s">
        <v>101</v>
      </c>
      <c r="F3" s="16" t="n">
        <v>210000</v>
      </c>
      <c r="G3" s="17" t="n">
        <v>0.35</v>
      </c>
      <c r="H3" s="19"/>
      <c r="I3" s="15" t="s">
        <v>79</v>
      </c>
      <c r="J3" s="18" t="n">
        <f aca="false">IF(F3="","",F3*G3)</f>
        <v>73500</v>
      </c>
      <c r="K3" s="5" t="n">
        <f aca="false">IF(A3="","",IF(H3&lt;&gt;"",Assumptions!$D$5-H3,IF(C3="","",Assumptions!$D$5-(C3+Assumptions!$B$8))))</f>
        <v>62</v>
      </c>
      <c r="L3" s="5" t="str">
        <f aca="false">IF(K3="","",IF(K3&lt;0,"Phase 1 (unliquidated)",IF(K3&lt;=Assumptions!$B$7,"Phase 1 (recently liquidated)",IF(K3&lt;=Assumptions!$B$6,"Protest required","Deadline passed — litigation only"))))</f>
        <v>Phase 1 (recently liquidated)</v>
      </c>
      <c r="M3" s="20" t="n">
        <f aca="false">IF(K3="","",IF(H3&lt;&gt;"",H3+Assumptions!$B$6,C3+Assumptions!$B$8+Assumptions!$B$6))</f>
        <v>46397</v>
      </c>
      <c r="N3" s="20" t="n">
        <f aca="false">IF(K3="","",IF(K3&lt;0,IF(H3&lt;&gt;"",H3+Assumptions!$B$7,C3+Assumptions!$B$8+Assumptions!$B$7),M3))</f>
        <v>46397</v>
      </c>
      <c r="O3" s="21" t="n">
        <f aca="false">IF(N3="","",N3-Assumptions!$D$5)</f>
        <v>118</v>
      </c>
      <c r="P3" s="16"/>
      <c r="Q3" s="16"/>
      <c r="R3" s="18" t="str">
        <f aca="false">IF(Q3="","",Q3*IF(LEFT(L3,7)="Phase 1",Assumptions!$B$11,Assumptions!$B$12))</f>
        <v/>
      </c>
      <c r="S3" s="15" t="s">
        <v>102</v>
      </c>
      <c r="T3" s="15"/>
      <c r="U3" s="15" t="s">
        <v>105</v>
      </c>
    </row>
    <row r="4" customFormat="false" ht="15" hidden="false" customHeight="true" outlineLevel="0" collapsed="false">
      <c r="A4" s="15" t="s">
        <v>106</v>
      </c>
      <c r="B4" s="15" t="s">
        <v>72</v>
      </c>
      <c r="C4" s="19" t="n">
        <v>46042</v>
      </c>
      <c r="D4" s="15" t="s">
        <v>100</v>
      </c>
      <c r="E4" s="15" t="s">
        <v>101</v>
      </c>
      <c r="F4" s="16" t="n">
        <v>95000</v>
      </c>
      <c r="G4" s="17" t="n">
        <v>0.35</v>
      </c>
      <c r="H4" s="19"/>
      <c r="I4" s="15" t="s">
        <v>79</v>
      </c>
      <c r="J4" s="18" t="n">
        <f aca="false">IF(F4="","",F4*G4)</f>
        <v>33250</v>
      </c>
      <c r="K4" s="5" t="n">
        <f aca="false">IF(A4="","",IF(H4&lt;&gt;"",Assumptions!$D$5-H4,IF(C4="","",Assumptions!$D$5-(C4+Assumptions!$B$8))))</f>
        <v>-77</v>
      </c>
      <c r="L4" s="5" t="str">
        <f aca="false">IF(K4="","",IF(K4&lt;0,"Phase 1 (unliquidated)",IF(K4&lt;=Assumptions!$B$7,"Phase 1 (recently liquidated)",IF(K4&lt;=Assumptions!$B$6,"Protest required","Deadline passed — litigation only"))))</f>
        <v>Phase 1 (unliquidated)</v>
      </c>
      <c r="M4" s="20" t="n">
        <f aca="false">IF(K4="","",IF(H4&lt;&gt;"",H4+Assumptions!$B$6,C4+Assumptions!$B$8+Assumptions!$B$6))</f>
        <v>46536</v>
      </c>
      <c r="N4" s="20" t="n">
        <f aca="false">IF(K4="","",IF(K4&lt;0,IF(H4&lt;&gt;"",H4+Assumptions!$B$7,C4+Assumptions!$B$8+Assumptions!$B$7),M4))</f>
        <v>46436</v>
      </c>
      <c r="O4" s="21" t="n">
        <f aca="false">IF(N4="","",N4-Assumptions!$D$5)</f>
        <v>157</v>
      </c>
      <c r="P4" s="16"/>
      <c r="Q4" s="16"/>
      <c r="R4" s="18" t="str">
        <f aca="false">IF(Q4="","",Q4*IF(LEFT(L4,7)="Phase 1",Assumptions!$B$11,Assumptions!$B$12))</f>
        <v/>
      </c>
      <c r="S4" s="15" t="s">
        <v>102</v>
      </c>
      <c r="T4" s="15"/>
      <c r="U4" s="15" t="s">
        <v>107</v>
      </c>
    </row>
    <row r="5" customFormat="false" ht="15" hidden="false" customHeight="true" outlineLevel="0" collapsed="false">
      <c r="C5" s="24"/>
      <c r="F5" s="22"/>
      <c r="G5" s="23"/>
      <c r="H5" s="24"/>
      <c r="J5" s="18" t="str">
        <f aca="false">IF(F5="","",F5*G5)</f>
        <v/>
      </c>
      <c r="K5" s="5" t="str">
        <f aca="false">IF(A5="","",IF(H5&lt;&gt;"",Assumptions!$D$5-H5,IF(C5="","",Assumptions!$D$5-(C5+Assumptions!$B$8))))</f>
        <v/>
      </c>
      <c r="L5" s="5" t="str">
        <f aca="false">IF(K5="","",IF(K5&lt;0,"Phase 1 (unliquidated)",IF(K5&lt;=Assumptions!$B$7,"Phase 1 (recently liquidated)",IF(K5&lt;=Assumptions!$B$6,"Protest required","Deadline passed — litigation only"))))</f>
        <v/>
      </c>
      <c r="M5" s="20" t="str">
        <f aca="false">IF(K5="","",IF(H5&lt;&gt;"",H5+Assumptions!$B$6,C5+Assumptions!$B$8+Assumptions!$B$6))</f>
        <v/>
      </c>
      <c r="N5" s="20" t="str">
        <f aca="false">IF(K5="","",IF(K5&lt;0,IF(H5&lt;&gt;"",H5+Assumptions!$B$7,C5+Assumptions!$B$8+Assumptions!$B$7),M5))</f>
        <v/>
      </c>
      <c r="O5" s="21" t="str">
        <f aca="false">IF(N5="","",N5-Assumptions!$D$5)</f>
        <v/>
      </c>
      <c r="P5" s="22"/>
      <c r="Q5" s="22"/>
      <c r="R5" s="18" t="str">
        <f aca="false">IF(Q5="","",Q5*IF(LEFT(L5,7)="Phase 1",Assumptions!$B$11,Assumptions!$B$12))</f>
        <v/>
      </c>
    </row>
    <row r="6" customFormat="false" ht="15" hidden="false" customHeight="true" outlineLevel="0" collapsed="false">
      <c r="C6" s="24"/>
      <c r="F6" s="22"/>
      <c r="G6" s="23"/>
      <c r="H6" s="24"/>
      <c r="J6" s="18" t="str">
        <f aca="false">IF(F6="","",F6*G6)</f>
        <v/>
      </c>
      <c r="K6" s="5" t="str">
        <f aca="false">IF(A6="","",IF(H6&lt;&gt;"",Assumptions!$D$5-H6,IF(C6="","",Assumptions!$D$5-(C6+Assumptions!$B$8))))</f>
        <v/>
      </c>
      <c r="L6" s="5" t="str">
        <f aca="false">IF(K6="","",IF(K6&lt;0,"Phase 1 (unliquidated)",IF(K6&lt;=Assumptions!$B$7,"Phase 1 (recently liquidated)",IF(K6&lt;=Assumptions!$B$6,"Protest required","Deadline passed — litigation only"))))</f>
        <v/>
      </c>
      <c r="M6" s="20" t="str">
        <f aca="false">IF(K6="","",IF(H6&lt;&gt;"",H6+Assumptions!$B$6,C6+Assumptions!$B$8+Assumptions!$B$6))</f>
        <v/>
      </c>
      <c r="N6" s="20" t="str">
        <f aca="false">IF(K6="","",IF(K6&lt;0,IF(H6&lt;&gt;"",H6+Assumptions!$B$7,C6+Assumptions!$B$8+Assumptions!$B$7),M6))</f>
        <v/>
      </c>
      <c r="O6" s="21" t="str">
        <f aca="false">IF(N6="","",N6-Assumptions!$D$5)</f>
        <v/>
      </c>
      <c r="P6" s="22"/>
      <c r="Q6" s="22"/>
      <c r="R6" s="18" t="str">
        <f aca="false">IF(Q6="","",Q6*IF(LEFT(L6,7)="Phase 1",Assumptions!$B$11,Assumptions!$B$12))</f>
        <v/>
      </c>
    </row>
    <row r="7" customFormat="false" ht="15" hidden="false" customHeight="true" outlineLevel="0" collapsed="false">
      <c r="C7" s="24"/>
      <c r="F7" s="22"/>
      <c r="G7" s="23"/>
      <c r="H7" s="24"/>
      <c r="J7" s="18" t="str">
        <f aca="false">IF(F7="","",F7*G7)</f>
        <v/>
      </c>
      <c r="K7" s="5" t="str">
        <f aca="false">IF(A7="","",IF(H7&lt;&gt;"",Assumptions!$D$5-H7,IF(C7="","",Assumptions!$D$5-(C7+Assumptions!$B$8))))</f>
        <v/>
      </c>
      <c r="L7" s="5" t="str">
        <f aca="false">IF(K7="","",IF(K7&lt;0,"Phase 1 (unliquidated)",IF(K7&lt;=Assumptions!$B$7,"Phase 1 (recently liquidated)",IF(K7&lt;=Assumptions!$B$6,"Protest required","Deadline passed — litigation only"))))</f>
        <v/>
      </c>
      <c r="M7" s="20" t="str">
        <f aca="false">IF(K7="","",IF(H7&lt;&gt;"",H7+Assumptions!$B$6,C7+Assumptions!$B$8+Assumptions!$B$6))</f>
        <v/>
      </c>
      <c r="N7" s="20" t="str">
        <f aca="false">IF(K7="","",IF(K7&lt;0,IF(H7&lt;&gt;"",H7+Assumptions!$B$7,C7+Assumptions!$B$8+Assumptions!$B$7),M7))</f>
        <v/>
      </c>
      <c r="O7" s="21" t="str">
        <f aca="false">IF(N7="","",N7-Assumptions!$D$5)</f>
        <v/>
      </c>
      <c r="P7" s="22"/>
      <c r="Q7" s="22"/>
      <c r="R7" s="18" t="str">
        <f aca="false">IF(Q7="","",Q7*IF(LEFT(L7,7)="Phase 1",Assumptions!$B$11,Assumptions!$B$12))</f>
        <v/>
      </c>
    </row>
    <row r="8" customFormat="false" ht="15" hidden="false" customHeight="true" outlineLevel="0" collapsed="false">
      <c r="C8" s="24"/>
      <c r="F8" s="22"/>
      <c r="G8" s="23"/>
      <c r="H8" s="24"/>
      <c r="J8" s="18" t="str">
        <f aca="false">IF(F8="","",F8*G8)</f>
        <v/>
      </c>
      <c r="K8" s="5" t="str">
        <f aca="false">IF(A8="","",IF(H8&lt;&gt;"",Assumptions!$D$5-H8,IF(C8="","",Assumptions!$D$5-(C8+Assumptions!$B$8))))</f>
        <v/>
      </c>
      <c r="L8" s="5" t="str">
        <f aca="false">IF(K8="","",IF(K8&lt;0,"Phase 1 (unliquidated)",IF(K8&lt;=Assumptions!$B$7,"Phase 1 (recently liquidated)",IF(K8&lt;=Assumptions!$B$6,"Protest required","Deadline passed — litigation only"))))</f>
        <v/>
      </c>
      <c r="M8" s="20" t="str">
        <f aca="false">IF(K8="","",IF(H8&lt;&gt;"",H8+Assumptions!$B$6,C8+Assumptions!$B$8+Assumptions!$B$6))</f>
        <v/>
      </c>
      <c r="N8" s="20" t="str">
        <f aca="false">IF(K8="","",IF(K8&lt;0,IF(H8&lt;&gt;"",H8+Assumptions!$B$7,C8+Assumptions!$B$8+Assumptions!$B$7),M8))</f>
        <v/>
      </c>
      <c r="O8" s="21" t="str">
        <f aca="false">IF(N8="","",N8-Assumptions!$D$5)</f>
        <v/>
      </c>
      <c r="P8" s="22"/>
      <c r="Q8" s="22"/>
      <c r="R8" s="18" t="str">
        <f aca="false">IF(Q8="","",Q8*IF(LEFT(L8,7)="Phase 1",Assumptions!$B$11,Assumptions!$B$12))</f>
        <v/>
      </c>
    </row>
    <row r="9" customFormat="false" ht="15" hidden="false" customHeight="true" outlineLevel="0" collapsed="false">
      <c r="C9" s="24"/>
      <c r="F9" s="22"/>
      <c r="G9" s="23"/>
      <c r="H9" s="24"/>
      <c r="J9" s="18" t="str">
        <f aca="false">IF(F9="","",F9*G9)</f>
        <v/>
      </c>
      <c r="K9" s="5" t="str">
        <f aca="false">IF(A9="","",IF(H9&lt;&gt;"",Assumptions!$D$5-H9,IF(C9="","",Assumptions!$D$5-(C9+Assumptions!$B$8))))</f>
        <v/>
      </c>
      <c r="L9" s="5" t="str">
        <f aca="false">IF(K9="","",IF(K9&lt;0,"Phase 1 (unliquidated)",IF(K9&lt;=Assumptions!$B$7,"Phase 1 (recently liquidated)",IF(K9&lt;=Assumptions!$B$6,"Protest required","Deadline passed — litigation only"))))</f>
        <v/>
      </c>
      <c r="M9" s="20" t="str">
        <f aca="false">IF(K9="","",IF(H9&lt;&gt;"",H9+Assumptions!$B$6,C9+Assumptions!$B$8+Assumptions!$B$6))</f>
        <v/>
      </c>
      <c r="N9" s="20" t="str">
        <f aca="false">IF(K9="","",IF(K9&lt;0,IF(H9&lt;&gt;"",H9+Assumptions!$B$7,C9+Assumptions!$B$8+Assumptions!$B$7),M9))</f>
        <v/>
      </c>
      <c r="O9" s="21" t="str">
        <f aca="false">IF(N9="","",N9-Assumptions!$D$5)</f>
        <v/>
      </c>
      <c r="P9" s="22"/>
      <c r="Q9" s="22"/>
      <c r="R9" s="18" t="str">
        <f aca="false">IF(Q9="","",Q9*IF(LEFT(L9,7)="Phase 1",Assumptions!$B$11,Assumptions!$B$12))</f>
        <v/>
      </c>
    </row>
    <row r="10" customFormat="false" ht="15" hidden="false" customHeight="true" outlineLevel="0" collapsed="false">
      <c r="C10" s="24"/>
      <c r="F10" s="22"/>
      <c r="G10" s="23"/>
      <c r="H10" s="24"/>
      <c r="J10" s="18" t="str">
        <f aca="false">IF(F10="","",F10*G10)</f>
        <v/>
      </c>
      <c r="K10" s="5" t="str">
        <f aca="false">IF(A10="","",IF(H10&lt;&gt;"",Assumptions!$D$5-H10,IF(C10="","",Assumptions!$D$5-(C10+Assumptions!$B$8))))</f>
        <v/>
      </c>
      <c r="L10" s="5" t="str">
        <f aca="false">IF(K10="","",IF(K10&lt;0,"Phase 1 (unliquidated)",IF(K10&lt;=Assumptions!$B$7,"Phase 1 (recently liquidated)",IF(K10&lt;=Assumptions!$B$6,"Protest required","Deadline passed — litigation only"))))</f>
        <v/>
      </c>
      <c r="M10" s="20" t="str">
        <f aca="false">IF(K10="","",IF(H10&lt;&gt;"",H10+Assumptions!$B$6,C10+Assumptions!$B$8+Assumptions!$B$6))</f>
        <v/>
      </c>
      <c r="N10" s="20" t="str">
        <f aca="false">IF(K10="","",IF(K10&lt;0,IF(H10&lt;&gt;"",H10+Assumptions!$B$7,C10+Assumptions!$B$8+Assumptions!$B$7),M10))</f>
        <v/>
      </c>
      <c r="O10" s="21" t="str">
        <f aca="false">IF(N10="","",N10-Assumptions!$D$5)</f>
        <v/>
      </c>
      <c r="P10" s="22"/>
      <c r="Q10" s="22"/>
      <c r="R10" s="18" t="str">
        <f aca="false">IF(Q10="","",Q10*IF(LEFT(L10,7)="Phase 1",Assumptions!$B$11,Assumptions!$B$12))</f>
        <v/>
      </c>
    </row>
    <row r="11" customFormat="false" ht="15" hidden="false" customHeight="true" outlineLevel="0" collapsed="false">
      <c r="C11" s="24"/>
      <c r="F11" s="22"/>
      <c r="G11" s="23"/>
      <c r="H11" s="24"/>
      <c r="J11" s="18" t="str">
        <f aca="false">IF(F11="","",F11*G11)</f>
        <v/>
      </c>
      <c r="K11" s="5" t="str">
        <f aca="false">IF(A11="","",IF(H11&lt;&gt;"",Assumptions!$D$5-H11,IF(C11="","",Assumptions!$D$5-(C11+Assumptions!$B$8))))</f>
        <v/>
      </c>
      <c r="L11" s="5" t="str">
        <f aca="false">IF(K11="","",IF(K11&lt;0,"Phase 1 (unliquidated)",IF(K11&lt;=Assumptions!$B$7,"Phase 1 (recently liquidated)",IF(K11&lt;=Assumptions!$B$6,"Protest required","Deadline passed — litigation only"))))</f>
        <v/>
      </c>
      <c r="M11" s="20" t="str">
        <f aca="false">IF(K11="","",IF(H11&lt;&gt;"",H11+Assumptions!$B$6,C11+Assumptions!$B$8+Assumptions!$B$6))</f>
        <v/>
      </c>
      <c r="N11" s="20" t="str">
        <f aca="false">IF(K11="","",IF(K11&lt;0,IF(H11&lt;&gt;"",H11+Assumptions!$B$7,C11+Assumptions!$B$8+Assumptions!$B$7),M11))</f>
        <v/>
      </c>
      <c r="O11" s="21" t="str">
        <f aca="false">IF(N11="","",N11-Assumptions!$D$5)</f>
        <v/>
      </c>
      <c r="P11" s="22"/>
      <c r="Q11" s="22"/>
      <c r="R11" s="18" t="str">
        <f aca="false">IF(Q11="","",Q11*IF(LEFT(L11,7)="Phase 1",Assumptions!$B$11,Assumptions!$B$12))</f>
        <v/>
      </c>
    </row>
    <row r="12" customFormat="false" ht="15" hidden="false" customHeight="true" outlineLevel="0" collapsed="false">
      <c r="C12" s="24"/>
      <c r="F12" s="22"/>
      <c r="G12" s="23"/>
      <c r="H12" s="24"/>
      <c r="J12" s="18" t="str">
        <f aca="false">IF(F12="","",F12*G12)</f>
        <v/>
      </c>
      <c r="K12" s="5" t="str">
        <f aca="false">IF(A12="","",IF(H12&lt;&gt;"",Assumptions!$D$5-H12,IF(C12="","",Assumptions!$D$5-(C12+Assumptions!$B$8))))</f>
        <v/>
      </c>
      <c r="L12" s="5" t="str">
        <f aca="false">IF(K12="","",IF(K12&lt;0,"Phase 1 (unliquidated)",IF(K12&lt;=Assumptions!$B$7,"Phase 1 (recently liquidated)",IF(K12&lt;=Assumptions!$B$6,"Protest required","Deadline passed — litigation only"))))</f>
        <v/>
      </c>
      <c r="M12" s="20" t="str">
        <f aca="false">IF(K12="","",IF(H12&lt;&gt;"",H12+Assumptions!$B$6,C12+Assumptions!$B$8+Assumptions!$B$6))</f>
        <v/>
      </c>
      <c r="N12" s="20" t="str">
        <f aca="false">IF(K12="","",IF(K12&lt;0,IF(H12&lt;&gt;"",H12+Assumptions!$B$7,C12+Assumptions!$B$8+Assumptions!$B$7),M12))</f>
        <v/>
      </c>
      <c r="O12" s="21" t="str">
        <f aca="false">IF(N12="","",N12-Assumptions!$D$5)</f>
        <v/>
      </c>
      <c r="P12" s="22"/>
      <c r="Q12" s="22"/>
      <c r="R12" s="18" t="str">
        <f aca="false">IF(Q12="","",Q12*IF(LEFT(L12,7)="Phase 1",Assumptions!$B$11,Assumptions!$B$12))</f>
        <v/>
      </c>
    </row>
    <row r="13" customFormat="false" ht="15" hidden="false" customHeight="true" outlineLevel="0" collapsed="false">
      <c r="C13" s="24"/>
      <c r="F13" s="22"/>
      <c r="G13" s="23"/>
      <c r="H13" s="24"/>
      <c r="J13" s="18" t="str">
        <f aca="false">IF(F13="","",F13*G13)</f>
        <v/>
      </c>
      <c r="K13" s="5" t="str">
        <f aca="false">IF(A13="","",IF(H13&lt;&gt;"",Assumptions!$D$5-H13,IF(C13="","",Assumptions!$D$5-(C13+Assumptions!$B$8))))</f>
        <v/>
      </c>
      <c r="L13" s="5" t="str">
        <f aca="false">IF(K13="","",IF(K13&lt;0,"Phase 1 (unliquidated)",IF(K13&lt;=Assumptions!$B$7,"Phase 1 (recently liquidated)",IF(K13&lt;=Assumptions!$B$6,"Protest required","Deadline passed — litigation only"))))</f>
        <v/>
      </c>
      <c r="M13" s="20" t="str">
        <f aca="false">IF(K13="","",IF(H13&lt;&gt;"",H13+Assumptions!$B$6,C13+Assumptions!$B$8+Assumptions!$B$6))</f>
        <v/>
      </c>
      <c r="N13" s="20" t="str">
        <f aca="false">IF(K13="","",IF(K13&lt;0,IF(H13&lt;&gt;"",H13+Assumptions!$B$7,C13+Assumptions!$B$8+Assumptions!$B$7),M13))</f>
        <v/>
      </c>
      <c r="O13" s="21" t="str">
        <f aca="false">IF(N13="","",N13-Assumptions!$D$5)</f>
        <v/>
      </c>
      <c r="P13" s="22"/>
      <c r="Q13" s="22"/>
      <c r="R13" s="18" t="str">
        <f aca="false">IF(Q13="","",Q13*IF(LEFT(L13,7)="Phase 1",Assumptions!$B$11,Assumptions!$B$12))</f>
        <v/>
      </c>
    </row>
    <row r="14" customFormat="false" ht="15" hidden="false" customHeight="true" outlineLevel="0" collapsed="false">
      <c r="C14" s="24"/>
      <c r="F14" s="22"/>
      <c r="G14" s="23"/>
      <c r="H14" s="24"/>
      <c r="J14" s="18" t="str">
        <f aca="false">IF(F14="","",F14*G14)</f>
        <v/>
      </c>
      <c r="K14" s="5" t="str">
        <f aca="false">IF(A14="","",IF(H14&lt;&gt;"",Assumptions!$D$5-H14,IF(C14="","",Assumptions!$D$5-(C14+Assumptions!$B$8))))</f>
        <v/>
      </c>
      <c r="L14" s="5" t="str">
        <f aca="false">IF(K14="","",IF(K14&lt;0,"Phase 1 (unliquidated)",IF(K14&lt;=Assumptions!$B$7,"Phase 1 (recently liquidated)",IF(K14&lt;=Assumptions!$B$6,"Protest required","Deadline passed — litigation only"))))</f>
        <v/>
      </c>
      <c r="M14" s="20" t="str">
        <f aca="false">IF(K14="","",IF(H14&lt;&gt;"",H14+Assumptions!$B$6,C14+Assumptions!$B$8+Assumptions!$B$6))</f>
        <v/>
      </c>
      <c r="N14" s="20" t="str">
        <f aca="false">IF(K14="","",IF(K14&lt;0,IF(H14&lt;&gt;"",H14+Assumptions!$B$7,C14+Assumptions!$B$8+Assumptions!$B$7),M14))</f>
        <v/>
      </c>
      <c r="O14" s="21" t="str">
        <f aca="false">IF(N14="","",N14-Assumptions!$D$5)</f>
        <v/>
      </c>
      <c r="P14" s="22"/>
      <c r="Q14" s="22"/>
      <c r="R14" s="18" t="str">
        <f aca="false">IF(Q14="","",Q14*IF(LEFT(L14,7)="Phase 1",Assumptions!$B$11,Assumptions!$B$12))</f>
        <v/>
      </c>
    </row>
    <row r="15" customFormat="false" ht="15" hidden="false" customHeight="true" outlineLevel="0" collapsed="false">
      <c r="C15" s="24"/>
      <c r="F15" s="22"/>
      <c r="G15" s="23"/>
      <c r="H15" s="24"/>
      <c r="J15" s="18" t="str">
        <f aca="false">IF(F15="","",F15*G15)</f>
        <v/>
      </c>
      <c r="K15" s="5" t="str">
        <f aca="false">IF(A15="","",IF(H15&lt;&gt;"",Assumptions!$D$5-H15,IF(C15="","",Assumptions!$D$5-(C15+Assumptions!$B$8))))</f>
        <v/>
      </c>
      <c r="L15" s="5" t="str">
        <f aca="false">IF(K15="","",IF(K15&lt;0,"Phase 1 (unliquidated)",IF(K15&lt;=Assumptions!$B$7,"Phase 1 (recently liquidated)",IF(K15&lt;=Assumptions!$B$6,"Protest required","Deadline passed — litigation only"))))</f>
        <v/>
      </c>
      <c r="M15" s="20" t="str">
        <f aca="false">IF(K15="","",IF(H15&lt;&gt;"",H15+Assumptions!$B$6,C15+Assumptions!$B$8+Assumptions!$B$6))</f>
        <v/>
      </c>
      <c r="N15" s="20" t="str">
        <f aca="false">IF(K15="","",IF(K15&lt;0,IF(H15&lt;&gt;"",H15+Assumptions!$B$7,C15+Assumptions!$B$8+Assumptions!$B$7),M15))</f>
        <v/>
      </c>
      <c r="O15" s="21" t="str">
        <f aca="false">IF(N15="","",N15-Assumptions!$D$5)</f>
        <v/>
      </c>
      <c r="P15" s="22"/>
      <c r="Q15" s="22"/>
      <c r="R15" s="18" t="str">
        <f aca="false">IF(Q15="","",Q15*IF(LEFT(L15,7)="Phase 1",Assumptions!$B$11,Assumptions!$B$12))</f>
        <v/>
      </c>
    </row>
    <row r="16" customFormat="false" ht="15" hidden="false" customHeight="true" outlineLevel="0" collapsed="false">
      <c r="C16" s="24"/>
      <c r="F16" s="22"/>
      <c r="G16" s="23"/>
      <c r="H16" s="24"/>
      <c r="J16" s="18" t="str">
        <f aca="false">IF(F16="","",F16*G16)</f>
        <v/>
      </c>
      <c r="K16" s="5" t="str">
        <f aca="false">IF(A16="","",IF(H16&lt;&gt;"",Assumptions!$D$5-H16,IF(C16="","",Assumptions!$D$5-(C16+Assumptions!$B$8))))</f>
        <v/>
      </c>
      <c r="L16" s="5" t="str">
        <f aca="false">IF(K16="","",IF(K16&lt;0,"Phase 1 (unliquidated)",IF(K16&lt;=Assumptions!$B$7,"Phase 1 (recently liquidated)",IF(K16&lt;=Assumptions!$B$6,"Protest required","Deadline passed — litigation only"))))</f>
        <v/>
      </c>
      <c r="M16" s="20" t="str">
        <f aca="false">IF(K16="","",IF(H16&lt;&gt;"",H16+Assumptions!$B$6,C16+Assumptions!$B$8+Assumptions!$B$6))</f>
        <v/>
      </c>
      <c r="N16" s="20" t="str">
        <f aca="false">IF(K16="","",IF(K16&lt;0,IF(H16&lt;&gt;"",H16+Assumptions!$B$7,C16+Assumptions!$B$8+Assumptions!$B$7),M16))</f>
        <v/>
      </c>
      <c r="O16" s="21" t="str">
        <f aca="false">IF(N16="","",N16-Assumptions!$D$5)</f>
        <v/>
      </c>
      <c r="P16" s="22"/>
      <c r="Q16" s="22"/>
      <c r="R16" s="18" t="str">
        <f aca="false">IF(Q16="","",Q16*IF(LEFT(L16,7)="Phase 1",Assumptions!$B$11,Assumptions!$B$12))</f>
        <v/>
      </c>
    </row>
    <row r="17" customFormat="false" ht="15" hidden="false" customHeight="true" outlineLevel="0" collapsed="false">
      <c r="C17" s="24"/>
      <c r="F17" s="22"/>
      <c r="G17" s="23"/>
      <c r="H17" s="24"/>
      <c r="J17" s="18" t="str">
        <f aca="false">IF(F17="","",F17*G17)</f>
        <v/>
      </c>
      <c r="K17" s="5" t="str">
        <f aca="false">IF(A17="","",IF(H17&lt;&gt;"",Assumptions!$D$5-H17,IF(C17="","",Assumptions!$D$5-(C17+Assumptions!$B$8))))</f>
        <v/>
      </c>
      <c r="L17" s="5" t="str">
        <f aca="false">IF(K17="","",IF(K17&lt;0,"Phase 1 (unliquidated)",IF(K17&lt;=Assumptions!$B$7,"Phase 1 (recently liquidated)",IF(K17&lt;=Assumptions!$B$6,"Protest required","Deadline passed — litigation only"))))</f>
        <v/>
      </c>
      <c r="M17" s="20" t="str">
        <f aca="false">IF(K17="","",IF(H17&lt;&gt;"",H17+Assumptions!$B$6,C17+Assumptions!$B$8+Assumptions!$B$6))</f>
        <v/>
      </c>
      <c r="N17" s="20" t="str">
        <f aca="false">IF(K17="","",IF(K17&lt;0,IF(H17&lt;&gt;"",H17+Assumptions!$B$7,C17+Assumptions!$B$8+Assumptions!$B$7),M17))</f>
        <v/>
      </c>
      <c r="O17" s="21" t="str">
        <f aca="false">IF(N17="","",N17-Assumptions!$D$5)</f>
        <v/>
      </c>
      <c r="P17" s="22"/>
      <c r="Q17" s="22"/>
      <c r="R17" s="18" t="str">
        <f aca="false">IF(Q17="","",Q17*IF(LEFT(L17,7)="Phase 1",Assumptions!$B$11,Assumptions!$B$12))</f>
        <v/>
      </c>
    </row>
    <row r="18" customFormat="false" ht="15" hidden="false" customHeight="true" outlineLevel="0" collapsed="false">
      <c r="C18" s="24"/>
      <c r="F18" s="22"/>
      <c r="G18" s="23"/>
      <c r="H18" s="24"/>
      <c r="J18" s="18" t="str">
        <f aca="false">IF(F18="","",F18*G18)</f>
        <v/>
      </c>
      <c r="K18" s="5" t="str">
        <f aca="false">IF(A18="","",IF(H18&lt;&gt;"",Assumptions!$D$5-H18,IF(C18="","",Assumptions!$D$5-(C18+Assumptions!$B$8))))</f>
        <v/>
      </c>
      <c r="L18" s="5" t="str">
        <f aca="false">IF(K18="","",IF(K18&lt;0,"Phase 1 (unliquidated)",IF(K18&lt;=Assumptions!$B$7,"Phase 1 (recently liquidated)",IF(K18&lt;=Assumptions!$B$6,"Protest required","Deadline passed — litigation only"))))</f>
        <v/>
      </c>
      <c r="M18" s="20" t="str">
        <f aca="false">IF(K18="","",IF(H18&lt;&gt;"",H18+Assumptions!$B$6,C18+Assumptions!$B$8+Assumptions!$B$6))</f>
        <v/>
      </c>
      <c r="N18" s="20" t="str">
        <f aca="false">IF(K18="","",IF(K18&lt;0,IF(H18&lt;&gt;"",H18+Assumptions!$B$7,C18+Assumptions!$B$8+Assumptions!$B$7),M18))</f>
        <v/>
      </c>
      <c r="O18" s="21" t="str">
        <f aca="false">IF(N18="","",N18-Assumptions!$D$5)</f>
        <v/>
      </c>
      <c r="P18" s="22"/>
      <c r="Q18" s="22"/>
      <c r="R18" s="18" t="str">
        <f aca="false">IF(Q18="","",Q18*IF(LEFT(L18,7)="Phase 1",Assumptions!$B$11,Assumptions!$B$12))</f>
        <v/>
      </c>
    </row>
    <row r="19" customFormat="false" ht="15" hidden="false" customHeight="true" outlineLevel="0" collapsed="false">
      <c r="C19" s="24"/>
      <c r="F19" s="22"/>
      <c r="G19" s="23"/>
      <c r="H19" s="24"/>
      <c r="J19" s="18" t="str">
        <f aca="false">IF(F19="","",F19*G19)</f>
        <v/>
      </c>
      <c r="K19" s="5" t="str">
        <f aca="false">IF(A19="","",IF(H19&lt;&gt;"",Assumptions!$D$5-H19,IF(C19="","",Assumptions!$D$5-(C19+Assumptions!$B$8))))</f>
        <v/>
      </c>
      <c r="L19" s="5" t="str">
        <f aca="false">IF(K19="","",IF(K19&lt;0,"Phase 1 (unliquidated)",IF(K19&lt;=Assumptions!$B$7,"Phase 1 (recently liquidated)",IF(K19&lt;=Assumptions!$B$6,"Protest required","Deadline passed — litigation only"))))</f>
        <v/>
      </c>
      <c r="M19" s="20" t="str">
        <f aca="false">IF(K19="","",IF(H19&lt;&gt;"",H19+Assumptions!$B$6,C19+Assumptions!$B$8+Assumptions!$B$6))</f>
        <v/>
      </c>
      <c r="N19" s="20" t="str">
        <f aca="false">IF(K19="","",IF(K19&lt;0,IF(H19&lt;&gt;"",H19+Assumptions!$B$7,C19+Assumptions!$B$8+Assumptions!$B$7),M19))</f>
        <v/>
      </c>
      <c r="O19" s="21" t="str">
        <f aca="false">IF(N19="","",N19-Assumptions!$D$5)</f>
        <v/>
      </c>
      <c r="P19" s="22"/>
      <c r="Q19" s="22"/>
      <c r="R19" s="18" t="str">
        <f aca="false">IF(Q19="","",Q19*IF(LEFT(L19,7)="Phase 1",Assumptions!$B$11,Assumptions!$B$12))</f>
        <v/>
      </c>
    </row>
    <row r="20" customFormat="false" ht="15" hidden="false" customHeight="true" outlineLevel="0" collapsed="false">
      <c r="C20" s="24"/>
      <c r="F20" s="22"/>
      <c r="G20" s="23"/>
      <c r="H20" s="24"/>
      <c r="J20" s="18" t="str">
        <f aca="false">IF(F20="","",F20*G20)</f>
        <v/>
      </c>
      <c r="K20" s="5" t="str">
        <f aca="false">IF(A20="","",IF(H20&lt;&gt;"",Assumptions!$D$5-H20,IF(C20="","",Assumptions!$D$5-(C20+Assumptions!$B$8))))</f>
        <v/>
      </c>
      <c r="L20" s="5" t="str">
        <f aca="false">IF(K20="","",IF(K20&lt;0,"Phase 1 (unliquidated)",IF(K20&lt;=Assumptions!$B$7,"Phase 1 (recently liquidated)",IF(K20&lt;=Assumptions!$B$6,"Protest required","Deadline passed — litigation only"))))</f>
        <v/>
      </c>
      <c r="M20" s="20" t="str">
        <f aca="false">IF(K20="","",IF(H20&lt;&gt;"",H20+Assumptions!$B$6,C20+Assumptions!$B$8+Assumptions!$B$6))</f>
        <v/>
      </c>
      <c r="N20" s="20" t="str">
        <f aca="false">IF(K20="","",IF(K20&lt;0,IF(H20&lt;&gt;"",H20+Assumptions!$B$7,C20+Assumptions!$B$8+Assumptions!$B$7),M20))</f>
        <v/>
      </c>
      <c r="O20" s="21" t="str">
        <f aca="false">IF(N20="","",N20-Assumptions!$D$5)</f>
        <v/>
      </c>
      <c r="P20" s="22"/>
      <c r="Q20" s="22"/>
      <c r="R20" s="18" t="str">
        <f aca="false">IF(Q20="","",Q20*IF(LEFT(L20,7)="Phase 1",Assumptions!$B$11,Assumptions!$B$12))</f>
        <v/>
      </c>
    </row>
    <row r="21" customFormat="false" ht="15" hidden="false" customHeight="true" outlineLevel="0" collapsed="false">
      <c r="C21" s="24"/>
      <c r="F21" s="22"/>
      <c r="G21" s="23"/>
      <c r="H21" s="24"/>
      <c r="J21" s="18" t="str">
        <f aca="false">IF(F21="","",F21*G21)</f>
        <v/>
      </c>
      <c r="K21" s="5" t="str">
        <f aca="false">IF(A21="","",IF(H21&lt;&gt;"",Assumptions!$D$5-H21,IF(C21="","",Assumptions!$D$5-(C21+Assumptions!$B$8))))</f>
        <v/>
      </c>
      <c r="L21" s="5" t="str">
        <f aca="false">IF(K21="","",IF(K21&lt;0,"Phase 1 (unliquidated)",IF(K21&lt;=Assumptions!$B$7,"Phase 1 (recently liquidated)",IF(K21&lt;=Assumptions!$B$6,"Protest required","Deadline passed — litigation only"))))</f>
        <v/>
      </c>
      <c r="M21" s="20" t="str">
        <f aca="false">IF(K21="","",IF(H21&lt;&gt;"",H21+Assumptions!$B$6,C21+Assumptions!$B$8+Assumptions!$B$6))</f>
        <v/>
      </c>
      <c r="N21" s="20" t="str">
        <f aca="false">IF(K21="","",IF(K21&lt;0,IF(H21&lt;&gt;"",H21+Assumptions!$B$7,C21+Assumptions!$B$8+Assumptions!$B$7),M21))</f>
        <v/>
      </c>
      <c r="O21" s="21" t="str">
        <f aca="false">IF(N21="","",N21-Assumptions!$D$5)</f>
        <v/>
      </c>
      <c r="P21" s="22"/>
      <c r="Q21" s="22"/>
      <c r="R21" s="18" t="str">
        <f aca="false">IF(Q21="","",Q21*IF(LEFT(L21,7)="Phase 1",Assumptions!$B$11,Assumptions!$B$12))</f>
        <v/>
      </c>
    </row>
    <row r="22" customFormat="false" ht="15" hidden="false" customHeight="true" outlineLevel="0" collapsed="false">
      <c r="C22" s="24"/>
      <c r="F22" s="22"/>
      <c r="G22" s="23"/>
      <c r="H22" s="24"/>
      <c r="J22" s="18" t="str">
        <f aca="false">IF(F22="","",F22*G22)</f>
        <v/>
      </c>
      <c r="K22" s="5" t="str">
        <f aca="false">IF(A22="","",IF(H22&lt;&gt;"",Assumptions!$D$5-H22,IF(C22="","",Assumptions!$D$5-(C22+Assumptions!$B$8))))</f>
        <v/>
      </c>
      <c r="L22" s="5" t="str">
        <f aca="false">IF(K22="","",IF(K22&lt;0,"Phase 1 (unliquidated)",IF(K22&lt;=Assumptions!$B$7,"Phase 1 (recently liquidated)",IF(K22&lt;=Assumptions!$B$6,"Protest required","Deadline passed — litigation only"))))</f>
        <v/>
      </c>
      <c r="M22" s="20" t="str">
        <f aca="false">IF(K22="","",IF(H22&lt;&gt;"",H22+Assumptions!$B$6,C22+Assumptions!$B$8+Assumptions!$B$6))</f>
        <v/>
      </c>
      <c r="N22" s="20" t="str">
        <f aca="false">IF(K22="","",IF(K22&lt;0,IF(H22&lt;&gt;"",H22+Assumptions!$B$7,C22+Assumptions!$B$8+Assumptions!$B$7),M22))</f>
        <v/>
      </c>
      <c r="O22" s="21" t="str">
        <f aca="false">IF(N22="","",N22-Assumptions!$D$5)</f>
        <v/>
      </c>
      <c r="P22" s="22"/>
      <c r="Q22" s="22"/>
      <c r="R22" s="18" t="str">
        <f aca="false">IF(Q22="","",Q22*IF(LEFT(L22,7)="Phase 1",Assumptions!$B$11,Assumptions!$B$12))</f>
        <v/>
      </c>
    </row>
    <row r="23" customFormat="false" ht="15" hidden="false" customHeight="true" outlineLevel="0" collapsed="false">
      <c r="C23" s="24"/>
      <c r="F23" s="22"/>
      <c r="G23" s="23"/>
      <c r="H23" s="24"/>
      <c r="J23" s="18" t="str">
        <f aca="false">IF(F23="","",F23*G23)</f>
        <v/>
      </c>
      <c r="K23" s="5" t="str">
        <f aca="false">IF(A23="","",IF(H23&lt;&gt;"",Assumptions!$D$5-H23,IF(C23="","",Assumptions!$D$5-(C23+Assumptions!$B$8))))</f>
        <v/>
      </c>
      <c r="L23" s="5" t="str">
        <f aca="false">IF(K23="","",IF(K23&lt;0,"Phase 1 (unliquidated)",IF(K23&lt;=Assumptions!$B$7,"Phase 1 (recently liquidated)",IF(K23&lt;=Assumptions!$B$6,"Protest required","Deadline passed — litigation only"))))</f>
        <v/>
      </c>
      <c r="M23" s="20" t="str">
        <f aca="false">IF(K23="","",IF(H23&lt;&gt;"",H23+Assumptions!$B$6,C23+Assumptions!$B$8+Assumptions!$B$6))</f>
        <v/>
      </c>
      <c r="N23" s="20" t="str">
        <f aca="false">IF(K23="","",IF(K23&lt;0,IF(H23&lt;&gt;"",H23+Assumptions!$B$7,C23+Assumptions!$B$8+Assumptions!$B$7),M23))</f>
        <v/>
      </c>
      <c r="O23" s="21" t="str">
        <f aca="false">IF(N23="","",N23-Assumptions!$D$5)</f>
        <v/>
      </c>
      <c r="P23" s="22"/>
      <c r="Q23" s="22"/>
      <c r="R23" s="18" t="str">
        <f aca="false">IF(Q23="","",Q23*IF(LEFT(L23,7)="Phase 1",Assumptions!$B$11,Assumptions!$B$12))</f>
        <v/>
      </c>
    </row>
    <row r="24" customFormat="false" ht="15" hidden="false" customHeight="true" outlineLevel="0" collapsed="false">
      <c r="C24" s="24"/>
      <c r="F24" s="22"/>
      <c r="G24" s="23"/>
      <c r="H24" s="24"/>
      <c r="J24" s="18" t="str">
        <f aca="false">IF(F24="","",F24*G24)</f>
        <v/>
      </c>
      <c r="K24" s="5" t="str">
        <f aca="false">IF(A24="","",IF(H24&lt;&gt;"",Assumptions!$D$5-H24,IF(C24="","",Assumptions!$D$5-(C24+Assumptions!$B$8))))</f>
        <v/>
      </c>
      <c r="L24" s="5" t="str">
        <f aca="false">IF(K24="","",IF(K24&lt;0,"Phase 1 (unliquidated)",IF(K24&lt;=Assumptions!$B$7,"Phase 1 (recently liquidated)",IF(K24&lt;=Assumptions!$B$6,"Protest required","Deadline passed — litigation only"))))</f>
        <v/>
      </c>
      <c r="M24" s="20" t="str">
        <f aca="false">IF(K24="","",IF(H24&lt;&gt;"",H24+Assumptions!$B$6,C24+Assumptions!$B$8+Assumptions!$B$6))</f>
        <v/>
      </c>
      <c r="N24" s="20" t="str">
        <f aca="false">IF(K24="","",IF(K24&lt;0,IF(H24&lt;&gt;"",H24+Assumptions!$B$7,C24+Assumptions!$B$8+Assumptions!$B$7),M24))</f>
        <v/>
      </c>
      <c r="O24" s="21" t="str">
        <f aca="false">IF(N24="","",N24-Assumptions!$D$5)</f>
        <v/>
      </c>
      <c r="P24" s="22"/>
      <c r="Q24" s="22"/>
      <c r="R24" s="18" t="str">
        <f aca="false">IF(Q24="","",Q24*IF(LEFT(L24,7)="Phase 1",Assumptions!$B$11,Assumptions!$B$12))</f>
        <v/>
      </c>
    </row>
    <row r="25" customFormat="false" ht="15" hidden="false" customHeight="true" outlineLevel="0" collapsed="false">
      <c r="C25" s="24"/>
      <c r="F25" s="22"/>
      <c r="G25" s="23"/>
      <c r="H25" s="24"/>
      <c r="J25" s="18" t="str">
        <f aca="false">IF(F25="","",F25*G25)</f>
        <v/>
      </c>
      <c r="K25" s="5" t="str">
        <f aca="false">IF(A25="","",IF(H25&lt;&gt;"",Assumptions!$D$5-H25,IF(C25="","",Assumptions!$D$5-(C25+Assumptions!$B$8))))</f>
        <v/>
      </c>
      <c r="L25" s="5" t="str">
        <f aca="false">IF(K25="","",IF(K25&lt;0,"Phase 1 (unliquidated)",IF(K25&lt;=Assumptions!$B$7,"Phase 1 (recently liquidated)",IF(K25&lt;=Assumptions!$B$6,"Protest required","Deadline passed — litigation only"))))</f>
        <v/>
      </c>
      <c r="M25" s="20" t="str">
        <f aca="false">IF(K25="","",IF(H25&lt;&gt;"",H25+Assumptions!$B$6,C25+Assumptions!$B$8+Assumptions!$B$6))</f>
        <v/>
      </c>
      <c r="N25" s="20" t="str">
        <f aca="false">IF(K25="","",IF(K25&lt;0,IF(H25&lt;&gt;"",H25+Assumptions!$B$7,C25+Assumptions!$B$8+Assumptions!$B$7),M25))</f>
        <v/>
      </c>
      <c r="O25" s="21" t="str">
        <f aca="false">IF(N25="","",N25-Assumptions!$D$5)</f>
        <v/>
      </c>
      <c r="P25" s="22"/>
      <c r="Q25" s="22"/>
      <c r="R25" s="18" t="str">
        <f aca="false">IF(Q25="","",Q25*IF(LEFT(L25,7)="Phase 1",Assumptions!$B$11,Assumptions!$B$12))</f>
        <v/>
      </c>
    </row>
    <row r="26" customFormat="false" ht="15" hidden="false" customHeight="true" outlineLevel="0" collapsed="false">
      <c r="C26" s="24"/>
      <c r="F26" s="22"/>
      <c r="G26" s="23"/>
      <c r="H26" s="24"/>
      <c r="J26" s="18" t="str">
        <f aca="false">IF(F26="","",F26*G26)</f>
        <v/>
      </c>
      <c r="K26" s="5" t="str">
        <f aca="false">IF(A26="","",IF(H26&lt;&gt;"",Assumptions!$D$5-H26,IF(C26="","",Assumptions!$D$5-(C26+Assumptions!$B$8))))</f>
        <v/>
      </c>
      <c r="L26" s="5" t="str">
        <f aca="false">IF(K26="","",IF(K26&lt;0,"Phase 1 (unliquidated)",IF(K26&lt;=Assumptions!$B$7,"Phase 1 (recently liquidated)",IF(K26&lt;=Assumptions!$B$6,"Protest required","Deadline passed — litigation only"))))</f>
        <v/>
      </c>
      <c r="M26" s="20" t="str">
        <f aca="false">IF(K26="","",IF(H26&lt;&gt;"",H26+Assumptions!$B$6,C26+Assumptions!$B$8+Assumptions!$B$6))</f>
        <v/>
      </c>
      <c r="N26" s="20" t="str">
        <f aca="false">IF(K26="","",IF(K26&lt;0,IF(H26&lt;&gt;"",H26+Assumptions!$B$7,C26+Assumptions!$B$8+Assumptions!$B$7),M26))</f>
        <v/>
      </c>
      <c r="O26" s="21" t="str">
        <f aca="false">IF(N26="","",N26-Assumptions!$D$5)</f>
        <v/>
      </c>
      <c r="P26" s="22"/>
      <c r="Q26" s="22"/>
      <c r="R26" s="18" t="str">
        <f aca="false">IF(Q26="","",Q26*IF(LEFT(L26,7)="Phase 1",Assumptions!$B$11,Assumptions!$B$12))</f>
        <v/>
      </c>
    </row>
    <row r="27" customFormat="false" ht="15" hidden="false" customHeight="true" outlineLevel="0" collapsed="false">
      <c r="C27" s="24"/>
      <c r="F27" s="22"/>
      <c r="G27" s="23"/>
      <c r="H27" s="24"/>
      <c r="J27" s="18" t="str">
        <f aca="false">IF(F27="","",F27*G27)</f>
        <v/>
      </c>
      <c r="K27" s="5" t="str">
        <f aca="false">IF(A27="","",IF(H27&lt;&gt;"",Assumptions!$D$5-H27,IF(C27="","",Assumptions!$D$5-(C27+Assumptions!$B$8))))</f>
        <v/>
      </c>
      <c r="L27" s="5" t="str">
        <f aca="false">IF(K27="","",IF(K27&lt;0,"Phase 1 (unliquidated)",IF(K27&lt;=Assumptions!$B$7,"Phase 1 (recently liquidated)",IF(K27&lt;=Assumptions!$B$6,"Protest required","Deadline passed — litigation only"))))</f>
        <v/>
      </c>
      <c r="M27" s="20" t="str">
        <f aca="false">IF(K27="","",IF(H27&lt;&gt;"",H27+Assumptions!$B$6,C27+Assumptions!$B$8+Assumptions!$B$6))</f>
        <v/>
      </c>
      <c r="N27" s="20" t="str">
        <f aca="false">IF(K27="","",IF(K27&lt;0,IF(H27&lt;&gt;"",H27+Assumptions!$B$7,C27+Assumptions!$B$8+Assumptions!$B$7),M27))</f>
        <v/>
      </c>
      <c r="O27" s="21" t="str">
        <f aca="false">IF(N27="","",N27-Assumptions!$D$5)</f>
        <v/>
      </c>
      <c r="P27" s="22"/>
      <c r="Q27" s="22"/>
      <c r="R27" s="18" t="str">
        <f aca="false">IF(Q27="","",Q27*IF(LEFT(L27,7)="Phase 1",Assumptions!$B$11,Assumptions!$B$12))</f>
        <v/>
      </c>
    </row>
    <row r="28" customFormat="false" ht="15" hidden="false" customHeight="true" outlineLevel="0" collapsed="false">
      <c r="C28" s="24"/>
      <c r="F28" s="22"/>
      <c r="G28" s="23"/>
      <c r="H28" s="24"/>
      <c r="J28" s="18" t="str">
        <f aca="false">IF(F28="","",F28*G28)</f>
        <v/>
      </c>
      <c r="K28" s="5" t="str">
        <f aca="false">IF(A28="","",IF(H28&lt;&gt;"",Assumptions!$D$5-H28,IF(C28="","",Assumptions!$D$5-(C28+Assumptions!$B$8))))</f>
        <v/>
      </c>
      <c r="L28" s="5" t="str">
        <f aca="false">IF(K28="","",IF(K28&lt;0,"Phase 1 (unliquidated)",IF(K28&lt;=Assumptions!$B$7,"Phase 1 (recently liquidated)",IF(K28&lt;=Assumptions!$B$6,"Protest required","Deadline passed — litigation only"))))</f>
        <v/>
      </c>
      <c r="M28" s="20" t="str">
        <f aca="false">IF(K28="","",IF(H28&lt;&gt;"",H28+Assumptions!$B$6,C28+Assumptions!$B$8+Assumptions!$B$6))</f>
        <v/>
      </c>
      <c r="N28" s="20" t="str">
        <f aca="false">IF(K28="","",IF(K28&lt;0,IF(H28&lt;&gt;"",H28+Assumptions!$B$7,C28+Assumptions!$B$8+Assumptions!$B$7),M28))</f>
        <v/>
      </c>
      <c r="O28" s="21" t="str">
        <f aca="false">IF(N28="","",N28-Assumptions!$D$5)</f>
        <v/>
      </c>
      <c r="P28" s="22"/>
      <c r="Q28" s="22"/>
      <c r="R28" s="18" t="str">
        <f aca="false">IF(Q28="","",Q28*IF(LEFT(L28,7)="Phase 1",Assumptions!$B$11,Assumptions!$B$12))</f>
        <v/>
      </c>
    </row>
    <row r="29" customFormat="false" ht="15" hidden="false" customHeight="true" outlineLevel="0" collapsed="false">
      <c r="C29" s="24"/>
      <c r="F29" s="22"/>
      <c r="G29" s="23"/>
      <c r="H29" s="24"/>
      <c r="J29" s="18" t="str">
        <f aca="false">IF(F29="","",F29*G29)</f>
        <v/>
      </c>
      <c r="K29" s="5" t="str">
        <f aca="false">IF(A29="","",IF(H29&lt;&gt;"",Assumptions!$D$5-H29,IF(C29="","",Assumptions!$D$5-(C29+Assumptions!$B$8))))</f>
        <v/>
      </c>
      <c r="L29" s="5" t="str">
        <f aca="false">IF(K29="","",IF(K29&lt;0,"Phase 1 (unliquidated)",IF(K29&lt;=Assumptions!$B$7,"Phase 1 (recently liquidated)",IF(K29&lt;=Assumptions!$B$6,"Protest required","Deadline passed — litigation only"))))</f>
        <v/>
      </c>
      <c r="M29" s="20" t="str">
        <f aca="false">IF(K29="","",IF(H29&lt;&gt;"",H29+Assumptions!$B$6,C29+Assumptions!$B$8+Assumptions!$B$6))</f>
        <v/>
      </c>
      <c r="N29" s="20" t="str">
        <f aca="false">IF(K29="","",IF(K29&lt;0,IF(H29&lt;&gt;"",H29+Assumptions!$B$7,C29+Assumptions!$B$8+Assumptions!$B$7),M29))</f>
        <v/>
      </c>
      <c r="O29" s="21" t="str">
        <f aca="false">IF(N29="","",N29-Assumptions!$D$5)</f>
        <v/>
      </c>
      <c r="P29" s="22"/>
      <c r="Q29" s="22"/>
      <c r="R29" s="18" t="str">
        <f aca="false">IF(Q29="","",Q29*IF(LEFT(L29,7)="Phase 1",Assumptions!$B$11,Assumptions!$B$12))</f>
        <v/>
      </c>
    </row>
    <row r="30" customFormat="false" ht="15" hidden="false" customHeight="true" outlineLevel="0" collapsed="false">
      <c r="C30" s="24"/>
      <c r="F30" s="22"/>
      <c r="G30" s="23"/>
      <c r="H30" s="24"/>
      <c r="J30" s="18" t="str">
        <f aca="false">IF(F30="","",F30*G30)</f>
        <v/>
      </c>
      <c r="K30" s="5" t="str">
        <f aca="false">IF(A30="","",IF(H30&lt;&gt;"",Assumptions!$D$5-H30,IF(C30="","",Assumptions!$D$5-(C30+Assumptions!$B$8))))</f>
        <v/>
      </c>
      <c r="L30" s="5" t="str">
        <f aca="false">IF(K30="","",IF(K30&lt;0,"Phase 1 (unliquidated)",IF(K30&lt;=Assumptions!$B$7,"Phase 1 (recently liquidated)",IF(K30&lt;=Assumptions!$B$6,"Protest required","Deadline passed — litigation only"))))</f>
        <v/>
      </c>
      <c r="M30" s="20" t="str">
        <f aca="false">IF(K30="","",IF(H30&lt;&gt;"",H30+Assumptions!$B$6,C30+Assumptions!$B$8+Assumptions!$B$6))</f>
        <v/>
      </c>
      <c r="N30" s="20" t="str">
        <f aca="false">IF(K30="","",IF(K30&lt;0,IF(H30&lt;&gt;"",H30+Assumptions!$B$7,C30+Assumptions!$B$8+Assumptions!$B$7),M30))</f>
        <v/>
      </c>
      <c r="O30" s="21" t="str">
        <f aca="false">IF(N30="","",N30-Assumptions!$D$5)</f>
        <v/>
      </c>
      <c r="P30" s="22"/>
      <c r="Q30" s="22"/>
      <c r="R30" s="18" t="str">
        <f aca="false">IF(Q30="","",Q30*IF(LEFT(L30,7)="Phase 1",Assumptions!$B$11,Assumptions!$B$12))</f>
        <v/>
      </c>
    </row>
    <row r="31" customFormat="false" ht="15" hidden="false" customHeight="true" outlineLevel="0" collapsed="false">
      <c r="C31" s="24"/>
      <c r="F31" s="22"/>
      <c r="G31" s="23"/>
      <c r="H31" s="24"/>
      <c r="J31" s="18" t="str">
        <f aca="false">IF(F31="","",F31*G31)</f>
        <v/>
      </c>
      <c r="K31" s="5" t="str">
        <f aca="false">IF(A31="","",IF(H31&lt;&gt;"",Assumptions!$D$5-H31,IF(C31="","",Assumptions!$D$5-(C31+Assumptions!$B$8))))</f>
        <v/>
      </c>
      <c r="L31" s="5" t="str">
        <f aca="false">IF(K31="","",IF(K31&lt;0,"Phase 1 (unliquidated)",IF(K31&lt;=Assumptions!$B$7,"Phase 1 (recently liquidated)",IF(K31&lt;=Assumptions!$B$6,"Protest required","Deadline passed — litigation only"))))</f>
        <v/>
      </c>
      <c r="M31" s="20" t="str">
        <f aca="false">IF(K31="","",IF(H31&lt;&gt;"",H31+Assumptions!$B$6,C31+Assumptions!$B$8+Assumptions!$B$6))</f>
        <v/>
      </c>
      <c r="N31" s="20" t="str">
        <f aca="false">IF(K31="","",IF(K31&lt;0,IF(H31&lt;&gt;"",H31+Assumptions!$B$7,C31+Assumptions!$B$8+Assumptions!$B$7),M31))</f>
        <v/>
      </c>
      <c r="O31" s="21" t="str">
        <f aca="false">IF(N31="","",N31-Assumptions!$D$5)</f>
        <v/>
      </c>
      <c r="P31" s="22"/>
      <c r="Q31" s="22"/>
      <c r="R31" s="18" t="str">
        <f aca="false">IF(Q31="","",Q31*IF(LEFT(L31,7)="Phase 1",Assumptions!$B$11,Assumptions!$B$12))</f>
        <v/>
      </c>
    </row>
    <row r="32" customFormat="false" ht="15" hidden="false" customHeight="true" outlineLevel="0" collapsed="false">
      <c r="C32" s="24"/>
      <c r="F32" s="22"/>
      <c r="G32" s="23"/>
      <c r="H32" s="24"/>
      <c r="J32" s="18" t="str">
        <f aca="false">IF(F32="","",F32*G32)</f>
        <v/>
      </c>
      <c r="K32" s="5" t="str">
        <f aca="false">IF(A32="","",IF(H32&lt;&gt;"",Assumptions!$D$5-H32,IF(C32="","",Assumptions!$D$5-(C32+Assumptions!$B$8))))</f>
        <v/>
      </c>
      <c r="L32" s="5" t="str">
        <f aca="false">IF(K32="","",IF(K32&lt;0,"Phase 1 (unliquidated)",IF(K32&lt;=Assumptions!$B$7,"Phase 1 (recently liquidated)",IF(K32&lt;=Assumptions!$B$6,"Protest required","Deadline passed — litigation only"))))</f>
        <v/>
      </c>
      <c r="M32" s="20" t="str">
        <f aca="false">IF(K32="","",IF(H32&lt;&gt;"",H32+Assumptions!$B$6,C32+Assumptions!$B$8+Assumptions!$B$6))</f>
        <v/>
      </c>
      <c r="N32" s="20" t="str">
        <f aca="false">IF(K32="","",IF(K32&lt;0,IF(H32&lt;&gt;"",H32+Assumptions!$B$7,C32+Assumptions!$B$8+Assumptions!$B$7),M32))</f>
        <v/>
      </c>
      <c r="O32" s="21" t="str">
        <f aca="false">IF(N32="","",N32-Assumptions!$D$5)</f>
        <v/>
      </c>
      <c r="P32" s="22"/>
      <c r="Q32" s="22"/>
      <c r="R32" s="18" t="str">
        <f aca="false">IF(Q32="","",Q32*IF(LEFT(L32,7)="Phase 1",Assumptions!$B$11,Assumptions!$B$12))</f>
        <v/>
      </c>
    </row>
    <row r="33" customFormat="false" ht="15" hidden="false" customHeight="true" outlineLevel="0" collapsed="false">
      <c r="C33" s="24"/>
      <c r="F33" s="22"/>
      <c r="G33" s="23"/>
      <c r="H33" s="24"/>
      <c r="J33" s="18" t="str">
        <f aca="false">IF(F33="","",F33*G33)</f>
        <v/>
      </c>
      <c r="K33" s="5" t="str">
        <f aca="false">IF(A33="","",IF(H33&lt;&gt;"",Assumptions!$D$5-H33,IF(C33="","",Assumptions!$D$5-(C33+Assumptions!$B$8))))</f>
        <v/>
      </c>
      <c r="L33" s="5" t="str">
        <f aca="false">IF(K33="","",IF(K33&lt;0,"Phase 1 (unliquidated)",IF(K33&lt;=Assumptions!$B$7,"Phase 1 (recently liquidated)",IF(K33&lt;=Assumptions!$B$6,"Protest required","Deadline passed — litigation only"))))</f>
        <v/>
      </c>
      <c r="M33" s="20" t="str">
        <f aca="false">IF(K33="","",IF(H33&lt;&gt;"",H33+Assumptions!$B$6,C33+Assumptions!$B$8+Assumptions!$B$6))</f>
        <v/>
      </c>
      <c r="N33" s="20" t="str">
        <f aca="false">IF(K33="","",IF(K33&lt;0,IF(H33&lt;&gt;"",H33+Assumptions!$B$7,C33+Assumptions!$B$8+Assumptions!$B$7),M33))</f>
        <v/>
      </c>
      <c r="O33" s="21" t="str">
        <f aca="false">IF(N33="","",N33-Assumptions!$D$5)</f>
        <v/>
      </c>
      <c r="P33" s="22"/>
      <c r="Q33" s="22"/>
      <c r="R33" s="18" t="str">
        <f aca="false">IF(Q33="","",Q33*IF(LEFT(L33,7)="Phase 1",Assumptions!$B$11,Assumptions!$B$12))</f>
        <v/>
      </c>
    </row>
    <row r="34" customFormat="false" ht="15" hidden="false" customHeight="true" outlineLevel="0" collapsed="false">
      <c r="C34" s="24"/>
      <c r="F34" s="22"/>
      <c r="G34" s="23"/>
      <c r="H34" s="24"/>
      <c r="J34" s="18" t="str">
        <f aca="false">IF(F34="","",F34*G34)</f>
        <v/>
      </c>
      <c r="K34" s="5" t="str">
        <f aca="false">IF(A34="","",IF(H34&lt;&gt;"",Assumptions!$D$5-H34,IF(C34="","",Assumptions!$D$5-(C34+Assumptions!$B$8))))</f>
        <v/>
      </c>
      <c r="L34" s="5" t="str">
        <f aca="false">IF(K34="","",IF(K34&lt;0,"Phase 1 (unliquidated)",IF(K34&lt;=Assumptions!$B$7,"Phase 1 (recently liquidated)",IF(K34&lt;=Assumptions!$B$6,"Protest required","Deadline passed — litigation only"))))</f>
        <v/>
      </c>
      <c r="M34" s="20" t="str">
        <f aca="false">IF(K34="","",IF(H34&lt;&gt;"",H34+Assumptions!$B$6,C34+Assumptions!$B$8+Assumptions!$B$6))</f>
        <v/>
      </c>
      <c r="N34" s="20" t="str">
        <f aca="false">IF(K34="","",IF(K34&lt;0,IF(H34&lt;&gt;"",H34+Assumptions!$B$7,C34+Assumptions!$B$8+Assumptions!$B$7),M34))</f>
        <v/>
      </c>
      <c r="O34" s="21" t="str">
        <f aca="false">IF(N34="","",N34-Assumptions!$D$5)</f>
        <v/>
      </c>
      <c r="P34" s="22"/>
      <c r="Q34" s="22"/>
      <c r="R34" s="18" t="str">
        <f aca="false">IF(Q34="","",Q34*IF(LEFT(L34,7)="Phase 1",Assumptions!$B$11,Assumptions!$B$12))</f>
        <v/>
      </c>
    </row>
    <row r="35" customFormat="false" ht="15" hidden="false" customHeight="true" outlineLevel="0" collapsed="false">
      <c r="C35" s="24"/>
      <c r="F35" s="22"/>
      <c r="G35" s="23"/>
      <c r="H35" s="24"/>
      <c r="J35" s="18" t="str">
        <f aca="false">IF(F35="","",F35*G35)</f>
        <v/>
      </c>
      <c r="K35" s="5" t="str">
        <f aca="false">IF(A35="","",IF(H35&lt;&gt;"",Assumptions!$D$5-H35,IF(C35="","",Assumptions!$D$5-(C35+Assumptions!$B$8))))</f>
        <v/>
      </c>
      <c r="L35" s="5" t="str">
        <f aca="false">IF(K35="","",IF(K35&lt;0,"Phase 1 (unliquidated)",IF(K35&lt;=Assumptions!$B$7,"Phase 1 (recently liquidated)",IF(K35&lt;=Assumptions!$B$6,"Protest required","Deadline passed — litigation only"))))</f>
        <v/>
      </c>
      <c r="M35" s="20" t="str">
        <f aca="false">IF(K35="","",IF(H35&lt;&gt;"",H35+Assumptions!$B$6,C35+Assumptions!$B$8+Assumptions!$B$6))</f>
        <v/>
      </c>
      <c r="N35" s="20" t="str">
        <f aca="false">IF(K35="","",IF(K35&lt;0,IF(H35&lt;&gt;"",H35+Assumptions!$B$7,C35+Assumptions!$B$8+Assumptions!$B$7),M35))</f>
        <v/>
      </c>
      <c r="O35" s="21" t="str">
        <f aca="false">IF(N35="","",N35-Assumptions!$D$5)</f>
        <v/>
      </c>
      <c r="P35" s="22"/>
      <c r="Q35" s="22"/>
      <c r="R35" s="18" t="str">
        <f aca="false">IF(Q35="","",Q35*IF(LEFT(L35,7)="Phase 1",Assumptions!$B$11,Assumptions!$B$12))</f>
        <v/>
      </c>
    </row>
    <row r="36" customFormat="false" ht="15" hidden="false" customHeight="true" outlineLevel="0" collapsed="false">
      <c r="C36" s="24"/>
      <c r="F36" s="22"/>
      <c r="G36" s="23"/>
      <c r="H36" s="24"/>
      <c r="J36" s="18" t="str">
        <f aca="false">IF(F36="","",F36*G36)</f>
        <v/>
      </c>
      <c r="K36" s="5" t="str">
        <f aca="false">IF(A36="","",IF(H36&lt;&gt;"",Assumptions!$D$5-H36,IF(C36="","",Assumptions!$D$5-(C36+Assumptions!$B$8))))</f>
        <v/>
      </c>
      <c r="L36" s="5" t="str">
        <f aca="false">IF(K36="","",IF(K36&lt;0,"Phase 1 (unliquidated)",IF(K36&lt;=Assumptions!$B$7,"Phase 1 (recently liquidated)",IF(K36&lt;=Assumptions!$B$6,"Protest required","Deadline passed — litigation only"))))</f>
        <v/>
      </c>
      <c r="M36" s="20" t="str">
        <f aca="false">IF(K36="","",IF(H36&lt;&gt;"",H36+Assumptions!$B$6,C36+Assumptions!$B$8+Assumptions!$B$6))</f>
        <v/>
      </c>
      <c r="N36" s="20" t="str">
        <f aca="false">IF(K36="","",IF(K36&lt;0,IF(H36&lt;&gt;"",H36+Assumptions!$B$7,C36+Assumptions!$B$8+Assumptions!$B$7),M36))</f>
        <v/>
      </c>
      <c r="O36" s="21" t="str">
        <f aca="false">IF(N36="","",N36-Assumptions!$D$5)</f>
        <v/>
      </c>
      <c r="P36" s="22"/>
      <c r="Q36" s="22"/>
      <c r="R36" s="18" t="str">
        <f aca="false">IF(Q36="","",Q36*IF(LEFT(L36,7)="Phase 1",Assumptions!$B$11,Assumptions!$B$12))</f>
        <v/>
      </c>
    </row>
    <row r="37" customFormat="false" ht="15" hidden="false" customHeight="true" outlineLevel="0" collapsed="false">
      <c r="C37" s="24"/>
      <c r="F37" s="22"/>
      <c r="G37" s="23"/>
      <c r="H37" s="24"/>
      <c r="J37" s="18" t="str">
        <f aca="false">IF(F37="","",F37*G37)</f>
        <v/>
      </c>
      <c r="K37" s="5" t="str">
        <f aca="false">IF(A37="","",IF(H37&lt;&gt;"",Assumptions!$D$5-H37,IF(C37="","",Assumptions!$D$5-(C37+Assumptions!$B$8))))</f>
        <v/>
      </c>
      <c r="L37" s="5" t="str">
        <f aca="false">IF(K37="","",IF(K37&lt;0,"Phase 1 (unliquidated)",IF(K37&lt;=Assumptions!$B$7,"Phase 1 (recently liquidated)",IF(K37&lt;=Assumptions!$B$6,"Protest required","Deadline passed — litigation only"))))</f>
        <v/>
      </c>
      <c r="M37" s="20" t="str">
        <f aca="false">IF(K37="","",IF(H37&lt;&gt;"",H37+Assumptions!$B$6,C37+Assumptions!$B$8+Assumptions!$B$6))</f>
        <v/>
      </c>
      <c r="N37" s="20" t="str">
        <f aca="false">IF(K37="","",IF(K37&lt;0,IF(H37&lt;&gt;"",H37+Assumptions!$B$7,C37+Assumptions!$B$8+Assumptions!$B$7),M37))</f>
        <v/>
      </c>
      <c r="O37" s="21" t="str">
        <f aca="false">IF(N37="","",N37-Assumptions!$D$5)</f>
        <v/>
      </c>
      <c r="P37" s="22"/>
      <c r="Q37" s="22"/>
      <c r="R37" s="18" t="str">
        <f aca="false">IF(Q37="","",Q37*IF(LEFT(L37,7)="Phase 1",Assumptions!$B$11,Assumptions!$B$12))</f>
        <v/>
      </c>
    </row>
    <row r="38" customFormat="false" ht="15" hidden="false" customHeight="true" outlineLevel="0" collapsed="false">
      <c r="C38" s="24"/>
      <c r="F38" s="22"/>
      <c r="G38" s="23"/>
      <c r="H38" s="24"/>
      <c r="J38" s="18" t="str">
        <f aca="false">IF(F38="","",F38*G38)</f>
        <v/>
      </c>
      <c r="K38" s="5" t="str">
        <f aca="false">IF(A38="","",IF(H38&lt;&gt;"",Assumptions!$D$5-H38,IF(C38="","",Assumptions!$D$5-(C38+Assumptions!$B$8))))</f>
        <v/>
      </c>
      <c r="L38" s="5" t="str">
        <f aca="false">IF(K38="","",IF(K38&lt;0,"Phase 1 (unliquidated)",IF(K38&lt;=Assumptions!$B$7,"Phase 1 (recently liquidated)",IF(K38&lt;=Assumptions!$B$6,"Protest required","Deadline passed — litigation only"))))</f>
        <v/>
      </c>
      <c r="M38" s="20" t="str">
        <f aca="false">IF(K38="","",IF(H38&lt;&gt;"",H38+Assumptions!$B$6,C38+Assumptions!$B$8+Assumptions!$B$6))</f>
        <v/>
      </c>
      <c r="N38" s="20" t="str">
        <f aca="false">IF(K38="","",IF(K38&lt;0,IF(H38&lt;&gt;"",H38+Assumptions!$B$7,C38+Assumptions!$B$8+Assumptions!$B$7),M38))</f>
        <v/>
      </c>
      <c r="O38" s="21" t="str">
        <f aca="false">IF(N38="","",N38-Assumptions!$D$5)</f>
        <v/>
      </c>
      <c r="P38" s="22"/>
      <c r="Q38" s="22"/>
      <c r="R38" s="18" t="str">
        <f aca="false">IF(Q38="","",Q38*IF(LEFT(L38,7)="Phase 1",Assumptions!$B$11,Assumptions!$B$12))</f>
        <v/>
      </c>
    </row>
    <row r="39" customFormat="false" ht="15" hidden="false" customHeight="true" outlineLevel="0" collapsed="false">
      <c r="C39" s="24"/>
      <c r="F39" s="22"/>
      <c r="G39" s="23"/>
      <c r="H39" s="24"/>
      <c r="J39" s="18" t="str">
        <f aca="false">IF(F39="","",F39*G39)</f>
        <v/>
      </c>
      <c r="K39" s="5" t="str">
        <f aca="false">IF(A39="","",IF(H39&lt;&gt;"",Assumptions!$D$5-H39,IF(C39="","",Assumptions!$D$5-(C39+Assumptions!$B$8))))</f>
        <v/>
      </c>
      <c r="L39" s="5" t="str">
        <f aca="false">IF(K39="","",IF(K39&lt;0,"Phase 1 (unliquidated)",IF(K39&lt;=Assumptions!$B$7,"Phase 1 (recently liquidated)",IF(K39&lt;=Assumptions!$B$6,"Protest required","Deadline passed — litigation only"))))</f>
        <v/>
      </c>
      <c r="M39" s="20" t="str">
        <f aca="false">IF(K39="","",IF(H39&lt;&gt;"",H39+Assumptions!$B$6,C39+Assumptions!$B$8+Assumptions!$B$6))</f>
        <v/>
      </c>
      <c r="N39" s="20" t="str">
        <f aca="false">IF(K39="","",IF(K39&lt;0,IF(H39&lt;&gt;"",H39+Assumptions!$B$7,C39+Assumptions!$B$8+Assumptions!$B$7),M39))</f>
        <v/>
      </c>
      <c r="O39" s="21" t="str">
        <f aca="false">IF(N39="","",N39-Assumptions!$D$5)</f>
        <v/>
      </c>
      <c r="P39" s="22"/>
      <c r="Q39" s="22"/>
      <c r="R39" s="18" t="str">
        <f aca="false">IF(Q39="","",Q39*IF(LEFT(L39,7)="Phase 1",Assumptions!$B$11,Assumptions!$B$12))</f>
        <v/>
      </c>
    </row>
    <row r="40" customFormat="false" ht="15" hidden="false" customHeight="true" outlineLevel="0" collapsed="false">
      <c r="C40" s="24"/>
      <c r="F40" s="22"/>
      <c r="G40" s="23"/>
      <c r="H40" s="24"/>
      <c r="J40" s="18" t="str">
        <f aca="false">IF(F40="","",F40*G40)</f>
        <v/>
      </c>
      <c r="K40" s="5" t="str">
        <f aca="false">IF(A40="","",IF(H40&lt;&gt;"",Assumptions!$D$5-H40,IF(C40="","",Assumptions!$D$5-(C40+Assumptions!$B$8))))</f>
        <v/>
      </c>
      <c r="L40" s="5" t="str">
        <f aca="false">IF(K40="","",IF(K40&lt;0,"Phase 1 (unliquidated)",IF(K40&lt;=Assumptions!$B$7,"Phase 1 (recently liquidated)",IF(K40&lt;=Assumptions!$B$6,"Protest required","Deadline passed — litigation only"))))</f>
        <v/>
      </c>
      <c r="M40" s="20" t="str">
        <f aca="false">IF(K40="","",IF(H40&lt;&gt;"",H40+Assumptions!$B$6,C40+Assumptions!$B$8+Assumptions!$B$6))</f>
        <v/>
      </c>
      <c r="N40" s="20" t="str">
        <f aca="false">IF(K40="","",IF(K40&lt;0,IF(H40&lt;&gt;"",H40+Assumptions!$B$7,C40+Assumptions!$B$8+Assumptions!$B$7),M40))</f>
        <v/>
      </c>
      <c r="O40" s="21" t="str">
        <f aca="false">IF(N40="","",N40-Assumptions!$D$5)</f>
        <v/>
      </c>
      <c r="P40" s="22"/>
      <c r="Q40" s="22"/>
      <c r="R40" s="18" t="str">
        <f aca="false">IF(Q40="","",Q40*IF(LEFT(L40,7)="Phase 1",Assumptions!$B$11,Assumptions!$B$12))</f>
        <v/>
      </c>
    </row>
    <row r="41" customFormat="false" ht="15" hidden="false" customHeight="true" outlineLevel="0" collapsed="false">
      <c r="C41" s="24"/>
      <c r="F41" s="22"/>
      <c r="G41" s="23"/>
      <c r="H41" s="24"/>
      <c r="J41" s="18" t="str">
        <f aca="false">IF(F41="","",F41*G41)</f>
        <v/>
      </c>
      <c r="K41" s="5" t="str">
        <f aca="false">IF(A41="","",IF(H41&lt;&gt;"",Assumptions!$D$5-H41,IF(C41="","",Assumptions!$D$5-(C41+Assumptions!$B$8))))</f>
        <v/>
      </c>
      <c r="L41" s="5" t="str">
        <f aca="false">IF(K41="","",IF(K41&lt;0,"Phase 1 (unliquidated)",IF(K41&lt;=Assumptions!$B$7,"Phase 1 (recently liquidated)",IF(K41&lt;=Assumptions!$B$6,"Protest required","Deadline passed — litigation only"))))</f>
        <v/>
      </c>
      <c r="M41" s="20" t="str">
        <f aca="false">IF(K41="","",IF(H41&lt;&gt;"",H41+Assumptions!$B$6,C41+Assumptions!$B$8+Assumptions!$B$6))</f>
        <v/>
      </c>
      <c r="N41" s="20" t="str">
        <f aca="false">IF(K41="","",IF(K41&lt;0,IF(H41&lt;&gt;"",H41+Assumptions!$B$7,C41+Assumptions!$B$8+Assumptions!$B$7),M41))</f>
        <v/>
      </c>
      <c r="O41" s="21" t="str">
        <f aca="false">IF(N41="","",N41-Assumptions!$D$5)</f>
        <v/>
      </c>
      <c r="P41" s="22"/>
      <c r="Q41" s="22"/>
      <c r="R41" s="18" t="str">
        <f aca="false">IF(Q41="","",Q41*IF(LEFT(L41,7)="Phase 1",Assumptions!$B$11,Assumptions!$B$12))</f>
        <v/>
      </c>
    </row>
    <row r="42" customFormat="false" ht="15" hidden="false" customHeight="true" outlineLevel="0" collapsed="false">
      <c r="C42" s="24"/>
      <c r="F42" s="22"/>
      <c r="G42" s="23"/>
      <c r="H42" s="24"/>
      <c r="J42" s="18" t="str">
        <f aca="false">IF(F42="","",F42*G42)</f>
        <v/>
      </c>
      <c r="K42" s="5" t="str">
        <f aca="false">IF(A42="","",IF(H42&lt;&gt;"",Assumptions!$D$5-H42,IF(C42="","",Assumptions!$D$5-(C42+Assumptions!$B$8))))</f>
        <v/>
      </c>
      <c r="L42" s="5" t="str">
        <f aca="false">IF(K42="","",IF(K42&lt;0,"Phase 1 (unliquidated)",IF(K42&lt;=Assumptions!$B$7,"Phase 1 (recently liquidated)",IF(K42&lt;=Assumptions!$B$6,"Protest required","Deadline passed — litigation only"))))</f>
        <v/>
      </c>
      <c r="M42" s="20" t="str">
        <f aca="false">IF(K42="","",IF(H42&lt;&gt;"",H42+Assumptions!$B$6,C42+Assumptions!$B$8+Assumptions!$B$6))</f>
        <v/>
      </c>
      <c r="N42" s="20" t="str">
        <f aca="false">IF(K42="","",IF(K42&lt;0,IF(H42&lt;&gt;"",H42+Assumptions!$B$7,C42+Assumptions!$B$8+Assumptions!$B$7),M42))</f>
        <v/>
      </c>
      <c r="O42" s="21" t="str">
        <f aca="false">IF(N42="","",N42-Assumptions!$D$5)</f>
        <v/>
      </c>
      <c r="P42" s="22"/>
      <c r="Q42" s="22"/>
      <c r="R42" s="18" t="str">
        <f aca="false">IF(Q42="","",Q42*IF(LEFT(L42,7)="Phase 1",Assumptions!$B$11,Assumptions!$B$12))</f>
        <v/>
      </c>
    </row>
    <row r="43" customFormat="false" ht="15" hidden="false" customHeight="true" outlineLevel="0" collapsed="false">
      <c r="C43" s="24"/>
      <c r="F43" s="22"/>
      <c r="G43" s="23"/>
      <c r="H43" s="24"/>
      <c r="J43" s="18" t="str">
        <f aca="false">IF(F43="","",F43*G43)</f>
        <v/>
      </c>
      <c r="K43" s="5" t="str">
        <f aca="false">IF(A43="","",IF(H43&lt;&gt;"",Assumptions!$D$5-H43,IF(C43="","",Assumptions!$D$5-(C43+Assumptions!$B$8))))</f>
        <v/>
      </c>
      <c r="L43" s="5" t="str">
        <f aca="false">IF(K43="","",IF(K43&lt;0,"Phase 1 (unliquidated)",IF(K43&lt;=Assumptions!$B$7,"Phase 1 (recently liquidated)",IF(K43&lt;=Assumptions!$B$6,"Protest required","Deadline passed — litigation only"))))</f>
        <v/>
      </c>
      <c r="M43" s="20" t="str">
        <f aca="false">IF(K43="","",IF(H43&lt;&gt;"",H43+Assumptions!$B$6,C43+Assumptions!$B$8+Assumptions!$B$6))</f>
        <v/>
      </c>
      <c r="N43" s="20" t="str">
        <f aca="false">IF(K43="","",IF(K43&lt;0,IF(H43&lt;&gt;"",H43+Assumptions!$B$7,C43+Assumptions!$B$8+Assumptions!$B$7),M43))</f>
        <v/>
      </c>
      <c r="O43" s="21" t="str">
        <f aca="false">IF(N43="","",N43-Assumptions!$D$5)</f>
        <v/>
      </c>
      <c r="P43" s="22"/>
      <c r="Q43" s="22"/>
      <c r="R43" s="18" t="str">
        <f aca="false">IF(Q43="","",Q43*IF(LEFT(L43,7)="Phase 1",Assumptions!$B$11,Assumptions!$B$12))</f>
        <v/>
      </c>
    </row>
    <row r="44" customFormat="false" ht="15" hidden="false" customHeight="true" outlineLevel="0" collapsed="false">
      <c r="C44" s="24"/>
      <c r="F44" s="22"/>
      <c r="G44" s="23"/>
      <c r="H44" s="24"/>
      <c r="J44" s="18" t="str">
        <f aca="false">IF(F44="","",F44*G44)</f>
        <v/>
      </c>
      <c r="K44" s="5" t="str">
        <f aca="false">IF(A44="","",IF(H44&lt;&gt;"",Assumptions!$D$5-H44,IF(C44="","",Assumptions!$D$5-(C44+Assumptions!$B$8))))</f>
        <v/>
      </c>
      <c r="L44" s="5" t="str">
        <f aca="false">IF(K44="","",IF(K44&lt;0,"Phase 1 (unliquidated)",IF(K44&lt;=Assumptions!$B$7,"Phase 1 (recently liquidated)",IF(K44&lt;=Assumptions!$B$6,"Protest required","Deadline passed — litigation only"))))</f>
        <v/>
      </c>
      <c r="M44" s="20" t="str">
        <f aca="false">IF(K44="","",IF(H44&lt;&gt;"",H44+Assumptions!$B$6,C44+Assumptions!$B$8+Assumptions!$B$6))</f>
        <v/>
      </c>
      <c r="N44" s="20" t="str">
        <f aca="false">IF(K44="","",IF(K44&lt;0,IF(H44&lt;&gt;"",H44+Assumptions!$B$7,C44+Assumptions!$B$8+Assumptions!$B$7),M44))</f>
        <v/>
      </c>
      <c r="O44" s="21" t="str">
        <f aca="false">IF(N44="","",N44-Assumptions!$D$5)</f>
        <v/>
      </c>
      <c r="P44" s="22"/>
      <c r="Q44" s="22"/>
      <c r="R44" s="18" t="str">
        <f aca="false">IF(Q44="","",Q44*IF(LEFT(L44,7)="Phase 1",Assumptions!$B$11,Assumptions!$B$12))</f>
        <v/>
      </c>
    </row>
    <row r="45" customFormat="false" ht="15" hidden="false" customHeight="true" outlineLevel="0" collapsed="false">
      <c r="C45" s="24"/>
      <c r="F45" s="22"/>
      <c r="G45" s="23"/>
      <c r="H45" s="24"/>
      <c r="J45" s="18" t="str">
        <f aca="false">IF(F45="","",F45*G45)</f>
        <v/>
      </c>
      <c r="K45" s="5" t="str">
        <f aca="false">IF(A45="","",IF(H45&lt;&gt;"",Assumptions!$D$5-H45,IF(C45="","",Assumptions!$D$5-(C45+Assumptions!$B$8))))</f>
        <v/>
      </c>
      <c r="L45" s="5" t="str">
        <f aca="false">IF(K45="","",IF(K45&lt;0,"Phase 1 (unliquidated)",IF(K45&lt;=Assumptions!$B$7,"Phase 1 (recently liquidated)",IF(K45&lt;=Assumptions!$B$6,"Protest required","Deadline passed — litigation only"))))</f>
        <v/>
      </c>
      <c r="M45" s="20" t="str">
        <f aca="false">IF(K45="","",IF(H45&lt;&gt;"",H45+Assumptions!$B$6,C45+Assumptions!$B$8+Assumptions!$B$6))</f>
        <v/>
      </c>
      <c r="N45" s="20" t="str">
        <f aca="false">IF(K45="","",IF(K45&lt;0,IF(H45&lt;&gt;"",H45+Assumptions!$B$7,C45+Assumptions!$B$8+Assumptions!$B$7),M45))</f>
        <v/>
      </c>
      <c r="O45" s="21" t="str">
        <f aca="false">IF(N45="","",N45-Assumptions!$D$5)</f>
        <v/>
      </c>
      <c r="P45" s="22"/>
      <c r="Q45" s="22"/>
      <c r="R45" s="18" t="str">
        <f aca="false">IF(Q45="","",Q45*IF(LEFT(L45,7)="Phase 1",Assumptions!$B$11,Assumptions!$B$12))</f>
        <v/>
      </c>
    </row>
    <row r="46" customFormat="false" ht="15" hidden="false" customHeight="true" outlineLevel="0" collapsed="false">
      <c r="C46" s="24"/>
      <c r="F46" s="22"/>
      <c r="G46" s="23"/>
      <c r="H46" s="24"/>
      <c r="J46" s="18" t="str">
        <f aca="false">IF(F46="","",F46*G46)</f>
        <v/>
      </c>
      <c r="K46" s="5" t="str">
        <f aca="false">IF(A46="","",IF(H46&lt;&gt;"",Assumptions!$D$5-H46,IF(C46="","",Assumptions!$D$5-(C46+Assumptions!$B$8))))</f>
        <v/>
      </c>
      <c r="L46" s="5" t="str">
        <f aca="false">IF(K46="","",IF(K46&lt;0,"Phase 1 (unliquidated)",IF(K46&lt;=Assumptions!$B$7,"Phase 1 (recently liquidated)",IF(K46&lt;=Assumptions!$B$6,"Protest required","Deadline passed — litigation only"))))</f>
        <v/>
      </c>
      <c r="M46" s="20" t="str">
        <f aca="false">IF(K46="","",IF(H46&lt;&gt;"",H46+Assumptions!$B$6,C46+Assumptions!$B$8+Assumptions!$B$6))</f>
        <v/>
      </c>
      <c r="N46" s="20" t="str">
        <f aca="false">IF(K46="","",IF(K46&lt;0,IF(H46&lt;&gt;"",H46+Assumptions!$B$7,C46+Assumptions!$B$8+Assumptions!$B$7),M46))</f>
        <v/>
      </c>
      <c r="O46" s="21" t="str">
        <f aca="false">IF(N46="","",N46-Assumptions!$D$5)</f>
        <v/>
      </c>
      <c r="P46" s="22"/>
      <c r="Q46" s="22"/>
      <c r="R46" s="18" t="str">
        <f aca="false">IF(Q46="","",Q46*IF(LEFT(L46,7)="Phase 1",Assumptions!$B$11,Assumptions!$B$12))</f>
        <v/>
      </c>
    </row>
    <row r="47" customFormat="false" ht="15" hidden="false" customHeight="true" outlineLevel="0" collapsed="false">
      <c r="C47" s="24"/>
      <c r="F47" s="22"/>
      <c r="G47" s="23"/>
      <c r="H47" s="24"/>
      <c r="J47" s="18" t="str">
        <f aca="false">IF(F47="","",F47*G47)</f>
        <v/>
      </c>
      <c r="K47" s="5" t="str">
        <f aca="false">IF(A47="","",IF(H47&lt;&gt;"",Assumptions!$D$5-H47,IF(C47="","",Assumptions!$D$5-(C47+Assumptions!$B$8))))</f>
        <v/>
      </c>
      <c r="L47" s="5" t="str">
        <f aca="false">IF(K47="","",IF(K47&lt;0,"Phase 1 (unliquidated)",IF(K47&lt;=Assumptions!$B$7,"Phase 1 (recently liquidated)",IF(K47&lt;=Assumptions!$B$6,"Protest required","Deadline passed — litigation only"))))</f>
        <v/>
      </c>
      <c r="M47" s="20" t="str">
        <f aca="false">IF(K47="","",IF(H47&lt;&gt;"",H47+Assumptions!$B$6,C47+Assumptions!$B$8+Assumptions!$B$6))</f>
        <v/>
      </c>
      <c r="N47" s="20" t="str">
        <f aca="false">IF(K47="","",IF(K47&lt;0,IF(H47&lt;&gt;"",H47+Assumptions!$B$7,C47+Assumptions!$B$8+Assumptions!$B$7),M47))</f>
        <v/>
      </c>
      <c r="O47" s="21" t="str">
        <f aca="false">IF(N47="","",N47-Assumptions!$D$5)</f>
        <v/>
      </c>
      <c r="P47" s="22"/>
      <c r="Q47" s="22"/>
      <c r="R47" s="18" t="str">
        <f aca="false">IF(Q47="","",Q47*IF(LEFT(L47,7)="Phase 1",Assumptions!$B$11,Assumptions!$B$12))</f>
        <v/>
      </c>
    </row>
    <row r="48" customFormat="false" ht="15" hidden="false" customHeight="true" outlineLevel="0" collapsed="false">
      <c r="C48" s="24"/>
      <c r="F48" s="22"/>
      <c r="G48" s="23"/>
      <c r="H48" s="24"/>
      <c r="J48" s="18" t="str">
        <f aca="false">IF(F48="","",F48*G48)</f>
        <v/>
      </c>
      <c r="K48" s="5" t="str">
        <f aca="false">IF(A48="","",IF(H48&lt;&gt;"",Assumptions!$D$5-H48,IF(C48="","",Assumptions!$D$5-(C48+Assumptions!$B$8))))</f>
        <v/>
      </c>
      <c r="L48" s="5" t="str">
        <f aca="false">IF(K48="","",IF(K48&lt;0,"Phase 1 (unliquidated)",IF(K48&lt;=Assumptions!$B$7,"Phase 1 (recently liquidated)",IF(K48&lt;=Assumptions!$B$6,"Protest required","Deadline passed — litigation only"))))</f>
        <v/>
      </c>
      <c r="M48" s="20" t="str">
        <f aca="false">IF(K48="","",IF(H48&lt;&gt;"",H48+Assumptions!$B$6,C48+Assumptions!$B$8+Assumptions!$B$6))</f>
        <v/>
      </c>
      <c r="N48" s="20" t="str">
        <f aca="false">IF(K48="","",IF(K48&lt;0,IF(H48&lt;&gt;"",H48+Assumptions!$B$7,C48+Assumptions!$B$8+Assumptions!$B$7),M48))</f>
        <v/>
      </c>
      <c r="O48" s="21" t="str">
        <f aca="false">IF(N48="","",N48-Assumptions!$D$5)</f>
        <v/>
      </c>
      <c r="P48" s="22"/>
      <c r="Q48" s="22"/>
      <c r="R48" s="18" t="str">
        <f aca="false">IF(Q48="","",Q48*IF(LEFT(L48,7)="Phase 1",Assumptions!$B$11,Assumptions!$B$12))</f>
        <v/>
      </c>
    </row>
    <row r="49" customFormat="false" ht="15" hidden="false" customHeight="true" outlineLevel="0" collapsed="false">
      <c r="C49" s="24"/>
      <c r="F49" s="22"/>
      <c r="G49" s="23"/>
      <c r="H49" s="24"/>
      <c r="J49" s="18" t="str">
        <f aca="false">IF(F49="","",F49*G49)</f>
        <v/>
      </c>
      <c r="K49" s="5" t="str">
        <f aca="false">IF(A49="","",IF(H49&lt;&gt;"",Assumptions!$D$5-H49,IF(C49="","",Assumptions!$D$5-(C49+Assumptions!$B$8))))</f>
        <v/>
      </c>
      <c r="L49" s="5" t="str">
        <f aca="false">IF(K49="","",IF(K49&lt;0,"Phase 1 (unliquidated)",IF(K49&lt;=Assumptions!$B$7,"Phase 1 (recently liquidated)",IF(K49&lt;=Assumptions!$B$6,"Protest required","Deadline passed — litigation only"))))</f>
        <v/>
      </c>
      <c r="M49" s="20" t="str">
        <f aca="false">IF(K49="","",IF(H49&lt;&gt;"",H49+Assumptions!$B$6,C49+Assumptions!$B$8+Assumptions!$B$6))</f>
        <v/>
      </c>
      <c r="N49" s="20" t="str">
        <f aca="false">IF(K49="","",IF(K49&lt;0,IF(H49&lt;&gt;"",H49+Assumptions!$B$7,C49+Assumptions!$B$8+Assumptions!$B$7),M49))</f>
        <v/>
      </c>
      <c r="O49" s="21" t="str">
        <f aca="false">IF(N49="","",N49-Assumptions!$D$5)</f>
        <v/>
      </c>
      <c r="P49" s="22"/>
      <c r="Q49" s="22"/>
      <c r="R49" s="18" t="str">
        <f aca="false">IF(Q49="","",Q49*IF(LEFT(L49,7)="Phase 1",Assumptions!$B$11,Assumptions!$B$12))</f>
        <v/>
      </c>
    </row>
    <row r="50" customFormat="false" ht="15" hidden="false" customHeight="true" outlineLevel="0" collapsed="false">
      <c r="C50" s="24"/>
      <c r="F50" s="22"/>
      <c r="G50" s="23"/>
      <c r="H50" s="24"/>
      <c r="J50" s="18" t="str">
        <f aca="false">IF(F50="","",F50*G50)</f>
        <v/>
      </c>
      <c r="K50" s="5" t="str">
        <f aca="false">IF(A50="","",IF(H50&lt;&gt;"",Assumptions!$D$5-H50,IF(C50="","",Assumptions!$D$5-(C50+Assumptions!$B$8))))</f>
        <v/>
      </c>
      <c r="L50" s="5" t="str">
        <f aca="false">IF(K50="","",IF(K50&lt;0,"Phase 1 (unliquidated)",IF(K50&lt;=Assumptions!$B$7,"Phase 1 (recently liquidated)",IF(K50&lt;=Assumptions!$B$6,"Protest required","Deadline passed — litigation only"))))</f>
        <v/>
      </c>
      <c r="M50" s="20" t="str">
        <f aca="false">IF(K50="","",IF(H50&lt;&gt;"",H50+Assumptions!$B$6,C50+Assumptions!$B$8+Assumptions!$B$6))</f>
        <v/>
      </c>
      <c r="N50" s="20" t="str">
        <f aca="false">IF(K50="","",IF(K50&lt;0,IF(H50&lt;&gt;"",H50+Assumptions!$B$7,C50+Assumptions!$B$8+Assumptions!$B$7),M50))</f>
        <v/>
      </c>
      <c r="O50" s="21" t="str">
        <f aca="false">IF(N50="","",N50-Assumptions!$D$5)</f>
        <v/>
      </c>
      <c r="P50" s="22"/>
      <c r="Q50" s="22"/>
      <c r="R50" s="18" t="str">
        <f aca="false">IF(Q50="","",Q50*IF(LEFT(L50,7)="Phase 1",Assumptions!$B$11,Assumptions!$B$12))</f>
        <v/>
      </c>
    </row>
    <row r="51" customFormat="false" ht="15" hidden="false" customHeight="true" outlineLevel="0" collapsed="false">
      <c r="C51" s="24"/>
      <c r="F51" s="22"/>
      <c r="G51" s="23"/>
      <c r="H51" s="24"/>
      <c r="J51" s="18" t="str">
        <f aca="false">IF(F51="","",F51*G51)</f>
        <v/>
      </c>
      <c r="K51" s="5" t="str">
        <f aca="false">IF(A51="","",IF(H51&lt;&gt;"",Assumptions!$D$5-H51,IF(C51="","",Assumptions!$D$5-(C51+Assumptions!$B$8))))</f>
        <v/>
      </c>
      <c r="L51" s="5" t="str">
        <f aca="false">IF(K51="","",IF(K51&lt;0,"Phase 1 (unliquidated)",IF(K51&lt;=Assumptions!$B$7,"Phase 1 (recently liquidated)",IF(K51&lt;=Assumptions!$B$6,"Protest required","Deadline passed — litigation only"))))</f>
        <v/>
      </c>
      <c r="M51" s="20" t="str">
        <f aca="false">IF(K51="","",IF(H51&lt;&gt;"",H51+Assumptions!$B$6,C51+Assumptions!$B$8+Assumptions!$B$6))</f>
        <v/>
      </c>
      <c r="N51" s="20" t="str">
        <f aca="false">IF(K51="","",IF(K51&lt;0,IF(H51&lt;&gt;"",H51+Assumptions!$B$7,C51+Assumptions!$B$8+Assumptions!$B$7),M51))</f>
        <v/>
      </c>
      <c r="O51" s="21" t="str">
        <f aca="false">IF(N51="","",N51-Assumptions!$D$5)</f>
        <v/>
      </c>
      <c r="P51" s="22"/>
      <c r="Q51" s="22"/>
      <c r="R51" s="18" t="str">
        <f aca="false">IF(Q51="","",Q51*IF(LEFT(L51,7)="Phase 1",Assumptions!$B$11,Assumptions!$B$12))</f>
        <v/>
      </c>
    </row>
    <row r="52" customFormat="false" ht="15" hidden="false" customHeight="true" outlineLevel="0" collapsed="false">
      <c r="C52" s="24"/>
      <c r="F52" s="22"/>
      <c r="G52" s="23"/>
      <c r="H52" s="24"/>
      <c r="J52" s="18" t="str">
        <f aca="false">IF(F52="","",F52*G52)</f>
        <v/>
      </c>
      <c r="K52" s="5" t="str">
        <f aca="false">IF(A52="","",IF(H52&lt;&gt;"",Assumptions!$D$5-H52,IF(C52="","",Assumptions!$D$5-(C52+Assumptions!$B$8))))</f>
        <v/>
      </c>
      <c r="L52" s="5" t="str">
        <f aca="false">IF(K52="","",IF(K52&lt;0,"Phase 1 (unliquidated)",IF(K52&lt;=Assumptions!$B$7,"Phase 1 (recently liquidated)",IF(K52&lt;=Assumptions!$B$6,"Protest required","Deadline passed — litigation only"))))</f>
        <v/>
      </c>
      <c r="M52" s="20" t="str">
        <f aca="false">IF(K52="","",IF(H52&lt;&gt;"",H52+Assumptions!$B$6,C52+Assumptions!$B$8+Assumptions!$B$6))</f>
        <v/>
      </c>
      <c r="N52" s="20" t="str">
        <f aca="false">IF(K52="","",IF(K52&lt;0,IF(H52&lt;&gt;"",H52+Assumptions!$B$7,C52+Assumptions!$B$8+Assumptions!$B$7),M52))</f>
        <v/>
      </c>
      <c r="O52" s="21" t="str">
        <f aca="false">IF(N52="","",N52-Assumptions!$D$5)</f>
        <v/>
      </c>
      <c r="P52" s="22"/>
      <c r="Q52" s="22"/>
      <c r="R52" s="18" t="str">
        <f aca="false">IF(Q52="","",Q52*IF(LEFT(L52,7)="Phase 1",Assumptions!$B$11,Assumptions!$B$12))</f>
        <v/>
      </c>
    </row>
    <row r="53" customFormat="false" ht="15" hidden="false" customHeight="true" outlineLevel="0" collapsed="false">
      <c r="C53" s="24"/>
      <c r="F53" s="22"/>
      <c r="G53" s="23"/>
      <c r="H53" s="24"/>
      <c r="J53" s="18" t="str">
        <f aca="false">IF(F53="","",F53*G53)</f>
        <v/>
      </c>
      <c r="K53" s="5" t="str">
        <f aca="false">IF(A53="","",IF(H53&lt;&gt;"",Assumptions!$D$5-H53,IF(C53="","",Assumptions!$D$5-(C53+Assumptions!$B$8))))</f>
        <v/>
      </c>
      <c r="L53" s="5" t="str">
        <f aca="false">IF(K53="","",IF(K53&lt;0,"Phase 1 (unliquidated)",IF(K53&lt;=Assumptions!$B$7,"Phase 1 (recently liquidated)",IF(K53&lt;=Assumptions!$B$6,"Protest required","Deadline passed — litigation only"))))</f>
        <v/>
      </c>
      <c r="M53" s="20" t="str">
        <f aca="false">IF(K53="","",IF(H53&lt;&gt;"",H53+Assumptions!$B$6,C53+Assumptions!$B$8+Assumptions!$B$6))</f>
        <v/>
      </c>
      <c r="N53" s="20" t="str">
        <f aca="false">IF(K53="","",IF(K53&lt;0,IF(H53&lt;&gt;"",H53+Assumptions!$B$7,C53+Assumptions!$B$8+Assumptions!$B$7),M53))</f>
        <v/>
      </c>
      <c r="O53" s="21" t="str">
        <f aca="false">IF(N53="","",N53-Assumptions!$D$5)</f>
        <v/>
      </c>
      <c r="P53" s="22"/>
      <c r="Q53" s="22"/>
      <c r="R53" s="18" t="str">
        <f aca="false">IF(Q53="","",Q53*IF(LEFT(L53,7)="Phase 1",Assumptions!$B$11,Assumptions!$B$12))</f>
        <v/>
      </c>
    </row>
    <row r="54" customFormat="false" ht="15" hidden="false" customHeight="true" outlineLevel="0" collapsed="false">
      <c r="C54" s="24"/>
      <c r="F54" s="22"/>
      <c r="G54" s="23"/>
      <c r="H54" s="24"/>
      <c r="J54" s="18" t="str">
        <f aca="false">IF(F54="","",F54*G54)</f>
        <v/>
      </c>
      <c r="K54" s="5" t="str">
        <f aca="false">IF(A54="","",IF(H54&lt;&gt;"",Assumptions!$D$5-H54,IF(C54="","",Assumptions!$D$5-(C54+Assumptions!$B$8))))</f>
        <v/>
      </c>
      <c r="L54" s="5" t="str">
        <f aca="false">IF(K54="","",IF(K54&lt;0,"Phase 1 (unliquidated)",IF(K54&lt;=Assumptions!$B$7,"Phase 1 (recently liquidated)",IF(K54&lt;=Assumptions!$B$6,"Protest required","Deadline passed — litigation only"))))</f>
        <v/>
      </c>
      <c r="M54" s="20" t="str">
        <f aca="false">IF(K54="","",IF(H54&lt;&gt;"",H54+Assumptions!$B$6,C54+Assumptions!$B$8+Assumptions!$B$6))</f>
        <v/>
      </c>
      <c r="N54" s="20" t="str">
        <f aca="false">IF(K54="","",IF(K54&lt;0,IF(H54&lt;&gt;"",H54+Assumptions!$B$7,C54+Assumptions!$B$8+Assumptions!$B$7),M54))</f>
        <v/>
      </c>
      <c r="O54" s="21" t="str">
        <f aca="false">IF(N54="","",N54-Assumptions!$D$5)</f>
        <v/>
      </c>
      <c r="P54" s="22"/>
      <c r="Q54" s="22"/>
      <c r="R54" s="18" t="str">
        <f aca="false">IF(Q54="","",Q54*IF(LEFT(L54,7)="Phase 1",Assumptions!$B$11,Assumptions!$B$12))</f>
        <v/>
      </c>
    </row>
    <row r="55" customFormat="false" ht="15" hidden="false" customHeight="true" outlineLevel="0" collapsed="false">
      <c r="C55" s="24"/>
      <c r="F55" s="22"/>
      <c r="G55" s="23"/>
      <c r="H55" s="24"/>
      <c r="J55" s="18" t="str">
        <f aca="false">IF(F55="","",F55*G55)</f>
        <v/>
      </c>
      <c r="K55" s="5" t="str">
        <f aca="false">IF(A55="","",IF(H55&lt;&gt;"",Assumptions!$D$5-H55,IF(C55="","",Assumptions!$D$5-(C55+Assumptions!$B$8))))</f>
        <v/>
      </c>
      <c r="L55" s="5" t="str">
        <f aca="false">IF(K55="","",IF(K55&lt;0,"Phase 1 (unliquidated)",IF(K55&lt;=Assumptions!$B$7,"Phase 1 (recently liquidated)",IF(K55&lt;=Assumptions!$B$6,"Protest required","Deadline passed — litigation only"))))</f>
        <v/>
      </c>
      <c r="M55" s="20" t="str">
        <f aca="false">IF(K55="","",IF(H55&lt;&gt;"",H55+Assumptions!$B$6,C55+Assumptions!$B$8+Assumptions!$B$6))</f>
        <v/>
      </c>
      <c r="N55" s="20" t="str">
        <f aca="false">IF(K55="","",IF(K55&lt;0,IF(H55&lt;&gt;"",H55+Assumptions!$B$7,C55+Assumptions!$B$8+Assumptions!$B$7),M55))</f>
        <v/>
      </c>
      <c r="O55" s="21" t="str">
        <f aca="false">IF(N55="","",N55-Assumptions!$D$5)</f>
        <v/>
      </c>
      <c r="P55" s="22"/>
      <c r="Q55" s="22"/>
      <c r="R55" s="18" t="str">
        <f aca="false">IF(Q55="","",Q55*IF(LEFT(L55,7)="Phase 1",Assumptions!$B$11,Assumptions!$B$12))</f>
        <v/>
      </c>
    </row>
    <row r="56" customFormat="false" ht="15" hidden="false" customHeight="true" outlineLevel="0" collapsed="false">
      <c r="C56" s="24"/>
      <c r="F56" s="22"/>
      <c r="G56" s="23"/>
      <c r="H56" s="24"/>
      <c r="J56" s="18" t="str">
        <f aca="false">IF(F56="","",F56*G56)</f>
        <v/>
      </c>
      <c r="K56" s="5" t="str">
        <f aca="false">IF(A56="","",IF(H56&lt;&gt;"",Assumptions!$D$5-H56,IF(C56="","",Assumptions!$D$5-(C56+Assumptions!$B$8))))</f>
        <v/>
      </c>
      <c r="L56" s="5" t="str">
        <f aca="false">IF(K56="","",IF(K56&lt;0,"Phase 1 (unliquidated)",IF(K56&lt;=Assumptions!$B$7,"Phase 1 (recently liquidated)",IF(K56&lt;=Assumptions!$B$6,"Protest required","Deadline passed — litigation only"))))</f>
        <v/>
      </c>
      <c r="M56" s="20" t="str">
        <f aca="false">IF(K56="","",IF(H56&lt;&gt;"",H56+Assumptions!$B$6,C56+Assumptions!$B$8+Assumptions!$B$6))</f>
        <v/>
      </c>
      <c r="N56" s="20" t="str">
        <f aca="false">IF(K56="","",IF(K56&lt;0,IF(H56&lt;&gt;"",H56+Assumptions!$B$7,C56+Assumptions!$B$8+Assumptions!$B$7),M56))</f>
        <v/>
      </c>
      <c r="O56" s="21" t="str">
        <f aca="false">IF(N56="","",N56-Assumptions!$D$5)</f>
        <v/>
      </c>
      <c r="P56" s="22"/>
      <c r="Q56" s="22"/>
      <c r="R56" s="18" t="str">
        <f aca="false">IF(Q56="","",Q56*IF(LEFT(L56,7)="Phase 1",Assumptions!$B$11,Assumptions!$B$12))</f>
        <v/>
      </c>
    </row>
    <row r="57" customFormat="false" ht="15" hidden="false" customHeight="true" outlineLevel="0" collapsed="false">
      <c r="C57" s="24"/>
      <c r="F57" s="22"/>
      <c r="G57" s="23"/>
      <c r="H57" s="24"/>
      <c r="J57" s="18" t="str">
        <f aca="false">IF(F57="","",F57*G57)</f>
        <v/>
      </c>
      <c r="K57" s="5" t="str">
        <f aca="false">IF(A57="","",IF(H57&lt;&gt;"",Assumptions!$D$5-H57,IF(C57="","",Assumptions!$D$5-(C57+Assumptions!$B$8))))</f>
        <v/>
      </c>
      <c r="L57" s="5" t="str">
        <f aca="false">IF(K57="","",IF(K57&lt;0,"Phase 1 (unliquidated)",IF(K57&lt;=Assumptions!$B$7,"Phase 1 (recently liquidated)",IF(K57&lt;=Assumptions!$B$6,"Protest required","Deadline passed — litigation only"))))</f>
        <v/>
      </c>
      <c r="M57" s="20" t="str">
        <f aca="false">IF(K57="","",IF(H57&lt;&gt;"",H57+Assumptions!$B$6,C57+Assumptions!$B$8+Assumptions!$B$6))</f>
        <v/>
      </c>
      <c r="N57" s="20" t="str">
        <f aca="false">IF(K57="","",IF(K57&lt;0,IF(H57&lt;&gt;"",H57+Assumptions!$B$7,C57+Assumptions!$B$8+Assumptions!$B$7),M57))</f>
        <v/>
      </c>
      <c r="O57" s="21" t="str">
        <f aca="false">IF(N57="","",N57-Assumptions!$D$5)</f>
        <v/>
      </c>
      <c r="P57" s="22"/>
      <c r="Q57" s="22"/>
      <c r="R57" s="18" t="str">
        <f aca="false">IF(Q57="","",Q57*IF(LEFT(L57,7)="Phase 1",Assumptions!$B$11,Assumptions!$B$12))</f>
        <v/>
      </c>
    </row>
    <row r="58" customFormat="false" ht="15" hidden="false" customHeight="true" outlineLevel="0" collapsed="false">
      <c r="C58" s="24"/>
      <c r="F58" s="22"/>
      <c r="G58" s="23"/>
      <c r="H58" s="24"/>
      <c r="J58" s="18" t="str">
        <f aca="false">IF(F58="","",F58*G58)</f>
        <v/>
      </c>
      <c r="K58" s="5" t="str">
        <f aca="false">IF(A58="","",IF(H58&lt;&gt;"",Assumptions!$D$5-H58,IF(C58="","",Assumptions!$D$5-(C58+Assumptions!$B$8))))</f>
        <v/>
      </c>
      <c r="L58" s="5" t="str">
        <f aca="false">IF(K58="","",IF(K58&lt;0,"Phase 1 (unliquidated)",IF(K58&lt;=Assumptions!$B$7,"Phase 1 (recently liquidated)",IF(K58&lt;=Assumptions!$B$6,"Protest required","Deadline passed — litigation only"))))</f>
        <v/>
      </c>
      <c r="M58" s="20" t="str">
        <f aca="false">IF(K58="","",IF(H58&lt;&gt;"",H58+Assumptions!$B$6,C58+Assumptions!$B$8+Assumptions!$B$6))</f>
        <v/>
      </c>
      <c r="N58" s="20" t="str">
        <f aca="false">IF(K58="","",IF(K58&lt;0,IF(H58&lt;&gt;"",H58+Assumptions!$B$7,C58+Assumptions!$B$8+Assumptions!$B$7),M58))</f>
        <v/>
      </c>
      <c r="O58" s="21" t="str">
        <f aca="false">IF(N58="","",N58-Assumptions!$D$5)</f>
        <v/>
      </c>
      <c r="P58" s="22"/>
      <c r="Q58" s="22"/>
      <c r="R58" s="18" t="str">
        <f aca="false">IF(Q58="","",Q58*IF(LEFT(L58,7)="Phase 1",Assumptions!$B$11,Assumptions!$B$12))</f>
        <v/>
      </c>
    </row>
    <row r="59" customFormat="false" ht="15" hidden="false" customHeight="true" outlineLevel="0" collapsed="false">
      <c r="C59" s="24"/>
      <c r="F59" s="22"/>
      <c r="G59" s="23"/>
      <c r="H59" s="24"/>
      <c r="J59" s="18" t="str">
        <f aca="false">IF(F59="","",F59*G59)</f>
        <v/>
      </c>
      <c r="K59" s="5" t="str">
        <f aca="false">IF(A59="","",IF(H59&lt;&gt;"",Assumptions!$D$5-H59,IF(C59="","",Assumptions!$D$5-(C59+Assumptions!$B$8))))</f>
        <v/>
      </c>
      <c r="L59" s="5" t="str">
        <f aca="false">IF(K59="","",IF(K59&lt;0,"Phase 1 (unliquidated)",IF(K59&lt;=Assumptions!$B$7,"Phase 1 (recently liquidated)",IF(K59&lt;=Assumptions!$B$6,"Protest required","Deadline passed — litigation only"))))</f>
        <v/>
      </c>
      <c r="M59" s="20" t="str">
        <f aca="false">IF(K59="","",IF(H59&lt;&gt;"",H59+Assumptions!$B$6,C59+Assumptions!$B$8+Assumptions!$B$6))</f>
        <v/>
      </c>
      <c r="N59" s="20" t="str">
        <f aca="false">IF(K59="","",IF(K59&lt;0,IF(H59&lt;&gt;"",H59+Assumptions!$B$7,C59+Assumptions!$B$8+Assumptions!$B$7),M59))</f>
        <v/>
      </c>
      <c r="O59" s="21" t="str">
        <f aca="false">IF(N59="","",N59-Assumptions!$D$5)</f>
        <v/>
      </c>
      <c r="P59" s="22"/>
      <c r="Q59" s="22"/>
      <c r="R59" s="18" t="str">
        <f aca="false">IF(Q59="","",Q59*IF(LEFT(L59,7)="Phase 1",Assumptions!$B$11,Assumptions!$B$12))</f>
        <v/>
      </c>
    </row>
    <row r="60" customFormat="false" ht="15" hidden="false" customHeight="true" outlineLevel="0" collapsed="false">
      <c r="C60" s="24"/>
      <c r="F60" s="22"/>
      <c r="G60" s="23"/>
      <c r="H60" s="24"/>
      <c r="J60" s="18" t="str">
        <f aca="false">IF(F60="","",F60*G60)</f>
        <v/>
      </c>
      <c r="K60" s="5" t="str">
        <f aca="false">IF(A60="","",IF(H60&lt;&gt;"",Assumptions!$D$5-H60,IF(C60="","",Assumptions!$D$5-(C60+Assumptions!$B$8))))</f>
        <v/>
      </c>
      <c r="L60" s="5" t="str">
        <f aca="false">IF(K60="","",IF(K60&lt;0,"Phase 1 (unliquidated)",IF(K60&lt;=Assumptions!$B$7,"Phase 1 (recently liquidated)",IF(K60&lt;=Assumptions!$B$6,"Protest required","Deadline passed — litigation only"))))</f>
        <v/>
      </c>
      <c r="M60" s="20" t="str">
        <f aca="false">IF(K60="","",IF(H60&lt;&gt;"",H60+Assumptions!$B$6,C60+Assumptions!$B$8+Assumptions!$B$6))</f>
        <v/>
      </c>
      <c r="N60" s="20" t="str">
        <f aca="false">IF(K60="","",IF(K60&lt;0,IF(H60&lt;&gt;"",H60+Assumptions!$B$7,C60+Assumptions!$B$8+Assumptions!$B$7),M60))</f>
        <v/>
      </c>
      <c r="O60" s="21" t="str">
        <f aca="false">IF(N60="","",N60-Assumptions!$D$5)</f>
        <v/>
      </c>
      <c r="P60" s="22"/>
      <c r="Q60" s="22"/>
      <c r="R60" s="18" t="str">
        <f aca="false">IF(Q60="","",Q60*IF(LEFT(L60,7)="Phase 1",Assumptions!$B$11,Assumptions!$B$12))</f>
        <v/>
      </c>
    </row>
    <row r="61" customFormat="false" ht="15" hidden="false" customHeight="true" outlineLevel="0" collapsed="false">
      <c r="C61" s="24"/>
      <c r="F61" s="22"/>
      <c r="G61" s="23"/>
      <c r="H61" s="24"/>
      <c r="J61" s="18" t="str">
        <f aca="false">IF(F61="","",F61*G61)</f>
        <v/>
      </c>
      <c r="K61" s="5" t="str">
        <f aca="false">IF(A61="","",IF(H61&lt;&gt;"",Assumptions!$D$5-H61,IF(C61="","",Assumptions!$D$5-(C61+Assumptions!$B$8))))</f>
        <v/>
      </c>
      <c r="L61" s="5" t="str">
        <f aca="false">IF(K61="","",IF(K61&lt;0,"Phase 1 (unliquidated)",IF(K61&lt;=Assumptions!$B$7,"Phase 1 (recently liquidated)",IF(K61&lt;=Assumptions!$B$6,"Protest required","Deadline passed — litigation only"))))</f>
        <v/>
      </c>
      <c r="M61" s="20" t="str">
        <f aca="false">IF(K61="","",IF(H61&lt;&gt;"",H61+Assumptions!$B$6,C61+Assumptions!$B$8+Assumptions!$B$6))</f>
        <v/>
      </c>
      <c r="N61" s="20" t="str">
        <f aca="false">IF(K61="","",IF(K61&lt;0,IF(H61&lt;&gt;"",H61+Assumptions!$B$7,C61+Assumptions!$B$8+Assumptions!$B$7),M61))</f>
        <v/>
      </c>
      <c r="O61" s="21" t="str">
        <f aca="false">IF(N61="","",N61-Assumptions!$D$5)</f>
        <v/>
      </c>
      <c r="P61" s="22"/>
      <c r="Q61" s="22"/>
      <c r="R61" s="18" t="str">
        <f aca="false">IF(Q61="","",Q61*IF(LEFT(L61,7)="Phase 1",Assumptions!$B$11,Assumptions!$B$12))</f>
        <v/>
      </c>
    </row>
    <row r="62" customFormat="false" ht="15" hidden="false" customHeight="true" outlineLevel="0" collapsed="false">
      <c r="C62" s="24"/>
      <c r="F62" s="22"/>
      <c r="G62" s="23"/>
      <c r="H62" s="24"/>
      <c r="J62" s="18" t="str">
        <f aca="false">IF(F62="","",F62*G62)</f>
        <v/>
      </c>
      <c r="K62" s="5" t="str">
        <f aca="false">IF(A62="","",IF(H62&lt;&gt;"",Assumptions!$D$5-H62,IF(C62="","",Assumptions!$D$5-(C62+Assumptions!$B$8))))</f>
        <v/>
      </c>
      <c r="L62" s="5" t="str">
        <f aca="false">IF(K62="","",IF(K62&lt;0,"Phase 1 (unliquidated)",IF(K62&lt;=Assumptions!$B$7,"Phase 1 (recently liquidated)",IF(K62&lt;=Assumptions!$B$6,"Protest required","Deadline passed — litigation only"))))</f>
        <v/>
      </c>
      <c r="M62" s="20" t="str">
        <f aca="false">IF(K62="","",IF(H62&lt;&gt;"",H62+Assumptions!$B$6,C62+Assumptions!$B$8+Assumptions!$B$6))</f>
        <v/>
      </c>
      <c r="N62" s="20" t="str">
        <f aca="false">IF(K62="","",IF(K62&lt;0,IF(H62&lt;&gt;"",H62+Assumptions!$B$7,C62+Assumptions!$B$8+Assumptions!$B$7),M62))</f>
        <v/>
      </c>
      <c r="O62" s="21" t="str">
        <f aca="false">IF(N62="","",N62-Assumptions!$D$5)</f>
        <v/>
      </c>
      <c r="P62" s="22"/>
      <c r="Q62" s="22"/>
      <c r="R62" s="18" t="str">
        <f aca="false">IF(Q62="","",Q62*IF(LEFT(L62,7)="Phase 1",Assumptions!$B$11,Assumptions!$B$12))</f>
        <v/>
      </c>
    </row>
    <row r="63" customFormat="false" ht="15" hidden="false" customHeight="true" outlineLevel="0" collapsed="false">
      <c r="C63" s="24"/>
      <c r="F63" s="22"/>
      <c r="G63" s="23"/>
      <c r="H63" s="24"/>
      <c r="J63" s="18" t="str">
        <f aca="false">IF(F63="","",F63*G63)</f>
        <v/>
      </c>
      <c r="K63" s="5" t="str">
        <f aca="false">IF(A63="","",IF(H63&lt;&gt;"",Assumptions!$D$5-H63,IF(C63="","",Assumptions!$D$5-(C63+Assumptions!$B$8))))</f>
        <v/>
      </c>
      <c r="L63" s="5" t="str">
        <f aca="false">IF(K63="","",IF(K63&lt;0,"Phase 1 (unliquidated)",IF(K63&lt;=Assumptions!$B$7,"Phase 1 (recently liquidated)",IF(K63&lt;=Assumptions!$B$6,"Protest required","Deadline passed — litigation only"))))</f>
        <v/>
      </c>
      <c r="M63" s="20" t="str">
        <f aca="false">IF(K63="","",IF(H63&lt;&gt;"",H63+Assumptions!$B$6,C63+Assumptions!$B$8+Assumptions!$B$6))</f>
        <v/>
      </c>
      <c r="N63" s="20" t="str">
        <f aca="false">IF(K63="","",IF(K63&lt;0,IF(H63&lt;&gt;"",H63+Assumptions!$B$7,C63+Assumptions!$B$8+Assumptions!$B$7),M63))</f>
        <v/>
      </c>
      <c r="O63" s="21" t="str">
        <f aca="false">IF(N63="","",N63-Assumptions!$D$5)</f>
        <v/>
      </c>
      <c r="P63" s="22"/>
      <c r="Q63" s="22"/>
      <c r="R63" s="18" t="str">
        <f aca="false">IF(Q63="","",Q63*IF(LEFT(L63,7)="Phase 1",Assumptions!$B$11,Assumptions!$B$12))</f>
        <v/>
      </c>
    </row>
    <row r="64" customFormat="false" ht="15" hidden="false" customHeight="true" outlineLevel="0" collapsed="false">
      <c r="C64" s="24"/>
      <c r="F64" s="22"/>
      <c r="G64" s="23"/>
      <c r="H64" s="24"/>
      <c r="J64" s="18" t="str">
        <f aca="false">IF(F64="","",F64*G64)</f>
        <v/>
      </c>
      <c r="K64" s="5" t="str">
        <f aca="false">IF(A64="","",IF(H64&lt;&gt;"",Assumptions!$D$5-H64,IF(C64="","",Assumptions!$D$5-(C64+Assumptions!$B$8))))</f>
        <v/>
      </c>
      <c r="L64" s="5" t="str">
        <f aca="false">IF(K64="","",IF(K64&lt;0,"Phase 1 (unliquidated)",IF(K64&lt;=Assumptions!$B$7,"Phase 1 (recently liquidated)",IF(K64&lt;=Assumptions!$B$6,"Protest required","Deadline passed — litigation only"))))</f>
        <v/>
      </c>
      <c r="M64" s="20" t="str">
        <f aca="false">IF(K64="","",IF(H64&lt;&gt;"",H64+Assumptions!$B$6,C64+Assumptions!$B$8+Assumptions!$B$6))</f>
        <v/>
      </c>
      <c r="N64" s="20" t="str">
        <f aca="false">IF(K64="","",IF(K64&lt;0,IF(H64&lt;&gt;"",H64+Assumptions!$B$7,C64+Assumptions!$B$8+Assumptions!$B$7),M64))</f>
        <v/>
      </c>
      <c r="O64" s="21" t="str">
        <f aca="false">IF(N64="","",N64-Assumptions!$D$5)</f>
        <v/>
      </c>
      <c r="P64" s="22"/>
      <c r="Q64" s="22"/>
      <c r="R64" s="18" t="str">
        <f aca="false">IF(Q64="","",Q64*IF(LEFT(L64,7)="Phase 1",Assumptions!$B$11,Assumptions!$B$12))</f>
        <v/>
      </c>
    </row>
    <row r="65" customFormat="false" ht="15" hidden="false" customHeight="true" outlineLevel="0" collapsed="false">
      <c r="C65" s="24"/>
      <c r="F65" s="22"/>
      <c r="G65" s="23"/>
      <c r="H65" s="24"/>
      <c r="J65" s="18" t="str">
        <f aca="false">IF(F65="","",F65*G65)</f>
        <v/>
      </c>
      <c r="K65" s="5" t="str">
        <f aca="false">IF(A65="","",IF(H65&lt;&gt;"",Assumptions!$D$5-H65,IF(C65="","",Assumptions!$D$5-(C65+Assumptions!$B$8))))</f>
        <v/>
      </c>
      <c r="L65" s="5" t="str">
        <f aca="false">IF(K65="","",IF(K65&lt;0,"Phase 1 (unliquidated)",IF(K65&lt;=Assumptions!$B$7,"Phase 1 (recently liquidated)",IF(K65&lt;=Assumptions!$B$6,"Protest required","Deadline passed — litigation only"))))</f>
        <v/>
      </c>
      <c r="M65" s="20" t="str">
        <f aca="false">IF(K65="","",IF(H65&lt;&gt;"",H65+Assumptions!$B$6,C65+Assumptions!$B$8+Assumptions!$B$6))</f>
        <v/>
      </c>
      <c r="N65" s="20" t="str">
        <f aca="false">IF(K65="","",IF(K65&lt;0,IF(H65&lt;&gt;"",H65+Assumptions!$B$7,C65+Assumptions!$B$8+Assumptions!$B$7),M65))</f>
        <v/>
      </c>
      <c r="O65" s="21" t="str">
        <f aca="false">IF(N65="","",N65-Assumptions!$D$5)</f>
        <v/>
      </c>
      <c r="P65" s="22"/>
      <c r="Q65" s="22"/>
      <c r="R65" s="18" t="str">
        <f aca="false">IF(Q65="","",Q65*IF(LEFT(L65,7)="Phase 1",Assumptions!$B$11,Assumptions!$B$12))</f>
        <v/>
      </c>
    </row>
    <row r="66" customFormat="false" ht="15" hidden="false" customHeight="true" outlineLevel="0" collapsed="false">
      <c r="C66" s="24"/>
      <c r="F66" s="22"/>
      <c r="G66" s="23"/>
      <c r="H66" s="24"/>
      <c r="J66" s="18" t="str">
        <f aca="false">IF(F66="","",F66*G66)</f>
        <v/>
      </c>
      <c r="K66" s="5" t="str">
        <f aca="false">IF(A66="","",IF(H66&lt;&gt;"",Assumptions!$D$5-H66,IF(C66="","",Assumptions!$D$5-(C66+Assumptions!$B$8))))</f>
        <v/>
      </c>
      <c r="L66" s="5" t="str">
        <f aca="false">IF(K66="","",IF(K66&lt;0,"Phase 1 (unliquidated)",IF(K66&lt;=Assumptions!$B$7,"Phase 1 (recently liquidated)",IF(K66&lt;=Assumptions!$B$6,"Protest required","Deadline passed — litigation only"))))</f>
        <v/>
      </c>
      <c r="M66" s="20" t="str">
        <f aca="false">IF(K66="","",IF(H66&lt;&gt;"",H66+Assumptions!$B$6,C66+Assumptions!$B$8+Assumptions!$B$6))</f>
        <v/>
      </c>
      <c r="N66" s="20" t="str">
        <f aca="false">IF(K66="","",IF(K66&lt;0,IF(H66&lt;&gt;"",H66+Assumptions!$B$7,C66+Assumptions!$B$8+Assumptions!$B$7),M66))</f>
        <v/>
      </c>
      <c r="O66" s="21" t="str">
        <f aca="false">IF(N66="","",N66-Assumptions!$D$5)</f>
        <v/>
      </c>
      <c r="P66" s="22"/>
      <c r="Q66" s="22"/>
      <c r="R66" s="18" t="str">
        <f aca="false">IF(Q66="","",Q66*IF(LEFT(L66,7)="Phase 1",Assumptions!$B$11,Assumptions!$B$12))</f>
        <v/>
      </c>
    </row>
    <row r="67" customFormat="false" ht="15" hidden="false" customHeight="true" outlineLevel="0" collapsed="false">
      <c r="C67" s="24"/>
      <c r="F67" s="22"/>
      <c r="G67" s="23"/>
      <c r="H67" s="24"/>
      <c r="J67" s="18" t="str">
        <f aca="false">IF(F67="","",F67*G67)</f>
        <v/>
      </c>
      <c r="K67" s="5" t="str">
        <f aca="false">IF(A67="","",IF(H67&lt;&gt;"",Assumptions!$D$5-H67,IF(C67="","",Assumptions!$D$5-(C67+Assumptions!$B$8))))</f>
        <v/>
      </c>
      <c r="L67" s="5" t="str">
        <f aca="false">IF(K67="","",IF(K67&lt;0,"Phase 1 (unliquidated)",IF(K67&lt;=Assumptions!$B$7,"Phase 1 (recently liquidated)",IF(K67&lt;=Assumptions!$B$6,"Protest required","Deadline passed — litigation only"))))</f>
        <v/>
      </c>
      <c r="M67" s="20" t="str">
        <f aca="false">IF(K67="","",IF(H67&lt;&gt;"",H67+Assumptions!$B$6,C67+Assumptions!$B$8+Assumptions!$B$6))</f>
        <v/>
      </c>
      <c r="N67" s="20" t="str">
        <f aca="false">IF(K67="","",IF(K67&lt;0,IF(H67&lt;&gt;"",H67+Assumptions!$B$7,C67+Assumptions!$B$8+Assumptions!$B$7),M67))</f>
        <v/>
      </c>
      <c r="O67" s="21" t="str">
        <f aca="false">IF(N67="","",N67-Assumptions!$D$5)</f>
        <v/>
      </c>
      <c r="P67" s="22"/>
      <c r="Q67" s="22"/>
      <c r="R67" s="18" t="str">
        <f aca="false">IF(Q67="","",Q67*IF(LEFT(L67,7)="Phase 1",Assumptions!$B$11,Assumptions!$B$12))</f>
        <v/>
      </c>
    </row>
    <row r="68" customFormat="false" ht="15" hidden="false" customHeight="true" outlineLevel="0" collapsed="false">
      <c r="C68" s="24"/>
      <c r="F68" s="22"/>
      <c r="G68" s="23"/>
      <c r="H68" s="24"/>
      <c r="J68" s="18" t="str">
        <f aca="false">IF(F68="","",F68*G68)</f>
        <v/>
      </c>
      <c r="K68" s="5" t="str">
        <f aca="false">IF(A68="","",IF(H68&lt;&gt;"",Assumptions!$D$5-H68,IF(C68="","",Assumptions!$D$5-(C68+Assumptions!$B$8))))</f>
        <v/>
      </c>
      <c r="L68" s="5" t="str">
        <f aca="false">IF(K68="","",IF(K68&lt;0,"Phase 1 (unliquidated)",IF(K68&lt;=Assumptions!$B$7,"Phase 1 (recently liquidated)",IF(K68&lt;=Assumptions!$B$6,"Protest required","Deadline passed — litigation only"))))</f>
        <v/>
      </c>
      <c r="M68" s="20" t="str">
        <f aca="false">IF(K68="","",IF(H68&lt;&gt;"",H68+Assumptions!$B$6,C68+Assumptions!$B$8+Assumptions!$B$6))</f>
        <v/>
      </c>
      <c r="N68" s="20" t="str">
        <f aca="false">IF(K68="","",IF(K68&lt;0,IF(H68&lt;&gt;"",H68+Assumptions!$B$7,C68+Assumptions!$B$8+Assumptions!$B$7),M68))</f>
        <v/>
      </c>
      <c r="O68" s="21" t="str">
        <f aca="false">IF(N68="","",N68-Assumptions!$D$5)</f>
        <v/>
      </c>
      <c r="P68" s="22"/>
      <c r="Q68" s="22"/>
      <c r="R68" s="18" t="str">
        <f aca="false">IF(Q68="","",Q68*IF(LEFT(L68,7)="Phase 1",Assumptions!$B$11,Assumptions!$B$12))</f>
        <v/>
      </c>
    </row>
    <row r="69" customFormat="false" ht="15" hidden="false" customHeight="true" outlineLevel="0" collapsed="false">
      <c r="C69" s="24"/>
      <c r="F69" s="22"/>
      <c r="G69" s="23"/>
      <c r="H69" s="24"/>
      <c r="J69" s="18" t="str">
        <f aca="false">IF(F69="","",F69*G69)</f>
        <v/>
      </c>
      <c r="K69" s="5" t="str">
        <f aca="false">IF(A69="","",IF(H69&lt;&gt;"",Assumptions!$D$5-H69,IF(C69="","",Assumptions!$D$5-(C69+Assumptions!$B$8))))</f>
        <v/>
      </c>
      <c r="L69" s="5" t="str">
        <f aca="false">IF(K69="","",IF(K69&lt;0,"Phase 1 (unliquidated)",IF(K69&lt;=Assumptions!$B$7,"Phase 1 (recently liquidated)",IF(K69&lt;=Assumptions!$B$6,"Protest required","Deadline passed — litigation only"))))</f>
        <v/>
      </c>
      <c r="M69" s="20" t="str">
        <f aca="false">IF(K69="","",IF(H69&lt;&gt;"",H69+Assumptions!$B$6,C69+Assumptions!$B$8+Assumptions!$B$6))</f>
        <v/>
      </c>
      <c r="N69" s="20" t="str">
        <f aca="false">IF(K69="","",IF(K69&lt;0,IF(H69&lt;&gt;"",H69+Assumptions!$B$7,C69+Assumptions!$B$8+Assumptions!$B$7),M69))</f>
        <v/>
      </c>
      <c r="O69" s="21" t="str">
        <f aca="false">IF(N69="","",N69-Assumptions!$D$5)</f>
        <v/>
      </c>
      <c r="P69" s="22"/>
      <c r="Q69" s="22"/>
      <c r="R69" s="18" t="str">
        <f aca="false">IF(Q69="","",Q69*IF(LEFT(L69,7)="Phase 1",Assumptions!$B$11,Assumptions!$B$12))</f>
        <v/>
      </c>
    </row>
    <row r="70" customFormat="false" ht="15" hidden="false" customHeight="true" outlineLevel="0" collapsed="false">
      <c r="C70" s="24"/>
      <c r="F70" s="22"/>
      <c r="G70" s="23"/>
      <c r="H70" s="24"/>
      <c r="J70" s="18" t="str">
        <f aca="false">IF(F70="","",F70*G70)</f>
        <v/>
      </c>
      <c r="K70" s="5" t="str">
        <f aca="false">IF(A70="","",IF(H70&lt;&gt;"",Assumptions!$D$5-H70,IF(C70="","",Assumptions!$D$5-(C70+Assumptions!$B$8))))</f>
        <v/>
      </c>
      <c r="L70" s="5" t="str">
        <f aca="false">IF(K70="","",IF(K70&lt;0,"Phase 1 (unliquidated)",IF(K70&lt;=Assumptions!$B$7,"Phase 1 (recently liquidated)",IF(K70&lt;=Assumptions!$B$6,"Protest required","Deadline passed — litigation only"))))</f>
        <v/>
      </c>
      <c r="M70" s="20" t="str">
        <f aca="false">IF(K70="","",IF(H70&lt;&gt;"",H70+Assumptions!$B$6,C70+Assumptions!$B$8+Assumptions!$B$6))</f>
        <v/>
      </c>
      <c r="N70" s="20" t="str">
        <f aca="false">IF(K70="","",IF(K70&lt;0,IF(H70&lt;&gt;"",H70+Assumptions!$B$7,C70+Assumptions!$B$8+Assumptions!$B$7),M70))</f>
        <v/>
      </c>
      <c r="O70" s="21" t="str">
        <f aca="false">IF(N70="","",N70-Assumptions!$D$5)</f>
        <v/>
      </c>
      <c r="P70" s="22"/>
      <c r="Q70" s="22"/>
      <c r="R70" s="18" t="str">
        <f aca="false">IF(Q70="","",Q70*IF(LEFT(L70,7)="Phase 1",Assumptions!$B$11,Assumptions!$B$12))</f>
        <v/>
      </c>
    </row>
    <row r="71" customFormat="false" ht="15" hidden="false" customHeight="true" outlineLevel="0" collapsed="false">
      <c r="C71" s="24"/>
      <c r="F71" s="22"/>
      <c r="G71" s="23"/>
      <c r="H71" s="24"/>
      <c r="J71" s="18" t="str">
        <f aca="false">IF(F71="","",F71*G71)</f>
        <v/>
      </c>
      <c r="K71" s="5" t="str">
        <f aca="false">IF(A71="","",IF(H71&lt;&gt;"",Assumptions!$D$5-H71,IF(C71="","",Assumptions!$D$5-(C71+Assumptions!$B$8))))</f>
        <v/>
      </c>
      <c r="L71" s="5" t="str">
        <f aca="false">IF(K71="","",IF(K71&lt;0,"Phase 1 (unliquidated)",IF(K71&lt;=Assumptions!$B$7,"Phase 1 (recently liquidated)",IF(K71&lt;=Assumptions!$B$6,"Protest required","Deadline passed — litigation only"))))</f>
        <v/>
      </c>
      <c r="M71" s="20" t="str">
        <f aca="false">IF(K71="","",IF(H71&lt;&gt;"",H71+Assumptions!$B$6,C71+Assumptions!$B$8+Assumptions!$B$6))</f>
        <v/>
      </c>
      <c r="N71" s="20" t="str">
        <f aca="false">IF(K71="","",IF(K71&lt;0,IF(H71&lt;&gt;"",H71+Assumptions!$B$7,C71+Assumptions!$B$8+Assumptions!$B$7),M71))</f>
        <v/>
      </c>
      <c r="O71" s="21" t="str">
        <f aca="false">IF(N71="","",N71-Assumptions!$D$5)</f>
        <v/>
      </c>
      <c r="P71" s="22"/>
      <c r="Q71" s="22"/>
      <c r="R71" s="18" t="str">
        <f aca="false">IF(Q71="","",Q71*IF(LEFT(L71,7)="Phase 1",Assumptions!$B$11,Assumptions!$B$12))</f>
        <v/>
      </c>
    </row>
    <row r="72" customFormat="false" ht="15" hidden="false" customHeight="true" outlineLevel="0" collapsed="false">
      <c r="C72" s="24"/>
      <c r="F72" s="22"/>
      <c r="G72" s="23"/>
      <c r="H72" s="24"/>
      <c r="J72" s="18" t="str">
        <f aca="false">IF(F72="","",F72*G72)</f>
        <v/>
      </c>
      <c r="K72" s="5" t="str">
        <f aca="false">IF(A72="","",IF(H72&lt;&gt;"",Assumptions!$D$5-H72,IF(C72="","",Assumptions!$D$5-(C72+Assumptions!$B$8))))</f>
        <v/>
      </c>
      <c r="L72" s="5" t="str">
        <f aca="false">IF(K72="","",IF(K72&lt;0,"Phase 1 (unliquidated)",IF(K72&lt;=Assumptions!$B$7,"Phase 1 (recently liquidated)",IF(K72&lt;=Assumptions!$B$6,"Protest required","Deadline passed — litigation only"))))</f>
        <v/>
      </c>
      <c r="M72" s="20" t="str">
        <f aca="false">IF(K72="","",IF(H72&lt;&gt;"",H72+Assumptions!$B$6,C72+Assumptions!$B$8+Assumptions!$B$6))</f>
        <v/>
      </c>
      <c r="N72" s="20" t="str">
        <f aca="false">IF(K72="","",IF(K72&lt;0,IF(H72&lt;&gt;"",H72+Assumptions!$B$7,C72+Assumptions!$B$8+Assumptions!$B$7),M72))</f>
        <v/>
      </c>
      <c r="O72" s="21" t="str">
        <f aca="false">IF(N72="","",N72-Assumptions!$D$5)</f>
        <v/>
      </c>
      <c r="P72" s="22"/>
      <c r="Q72" s="22"/>
      <c r="R72" s="18" t="str">
        <f aca="false">IF(Q72="","",Q72*IF(LEFT(L72,7)="Phase 1",Assumptions!$B$11,Assumptions!$B$12))</f>
        <v/>
      </c>
    </row>
    <row r="73" customFormat="false" ht="15" hidden="false" customHeight="true" outlineLevel="0" collapsed="false">
      <c r="C73" s="24"/>
      <c r="F73" s="22"/>
      <c r="G73" s="23"/>
      <c r="H73" s="24"/>
      <c r="J73" s="18" t="str">
        <f aca="false">IF(F73="","",F73*G73)</f>
        <v/>
      </c>
      <c r="K73" s="5" t="str">
        <f aca="false">IF(A73="","",IF(H73&lt;&gt;"",Assumptions!$D$5-H73,IF(C73="","",Assumptions!$D$5-(C73+Assumptions!$B$8))))</f>
        <v/>
      </c>
      <c r="L73" s="5" t="str">
        <f aca="false">IF(K73="","",IF(K73&lt;0,"Phase 1 (unliquidated)",IF(K73&lt;=Assumptions!$B$7,"Phase 1 (recently liquidated)",IF(K73&lt;=Assumptions!$B$6,"Protest required","Deadline passed — litigation only"))))</f>
        <v/>
      </c>
      <c r="M73" s="20" t="str">
        <f aca="false">IF(K73="","",IF(H73&lt;&gt;"",H73+Assumptions!$B$6,C73+Assumptions!$B$8+Assumptions!$B$6))</f>
        <v/>
      </c>
      <c r="N73" s="20" t="str">
        <f aca="false">IF(K73="","",IF(K73&lt;0,IF(H73&lt;&gt;"",H73+Assumptions!$B$7,C73+Assumptions!$B$8+Assumptions!$B$7),M73))</f>
        <v/>
      </c>
      <c r="O73" s="21" t="str">
        <f aca="false">IF(N73="","",N73-Assumptions!$D$5)</f>
        <v/>
      </c>
      <c r="P73" s="22"/>
      <c r="Q73" s="22"/>
      <c r="R73" s="18" t="str">
        <f aca="false">IF(Q73="","",Q73*IF(LEFT(L73,7)="Phase 1",Assumptions!$B$11,Assumptions!$B$12))</f>
        <v/>
      </c>
    </row>
    <row r="74" customFormat="false" ht="15" hidden="false" customHeight="true" outlineLevel="0" collapsed="false">
      <c r="C74" s="24"/>
      <c r="F74" s="22"/>
      <c r="G74" s="23"/>
      <c r="H74" s="24"/>
      <c r="J74" s="18" t="str">
        <f aca="false">IF(F74="","",F74*G74)</f>
        <v/>
      </c>
      <c r="K74" s="5" t="str">
        <f aca="false">IF(A74="","",IF(H74&lt;&gt;"",Assumptions!$D$5-H74,IF(C74="","",Assumptions!$D$5-(C74+Assumptions!$B$8))))</f>
        <v/>
      </c>
      <c r="L74" s="5" t="str">
        <f aca="false">IF(K74="","",IF(K74&lt;0,"Phase 1 (unliquidated)",IF(K74&lt;=Assumptions!$B$7,"Phase 1 (recently liquidated)",IF(K74&lt;=Assumptions!$B$6,"Protest required","Deadline passed — litigation only"))))</f>
        <v/>
      </c>
      <c r="M74" s="20" t="str">
        <f aca="false">IF(K74="","",IF(H74&lt;&gt;"",H74+Assumptions!$B$6,C74+Assumptions!$B$8+Assumptions!$B$6))</f>
        <v/>
      </c>
      <c r="N74" s="20" t="str">
        <f aca="false">IF(K74="","",IF(K74&lt;0,IF(H74&lt;&gt;"",H74+Assumptions!$B$7,C74+Assumptions!$B$8+Assumptions!$B$7),M74))</f>
        <v/>
      </c>
      <c r="O74" s="21" t="str">
        <f aca="false">IF(N74="","",N74-Assumptions!$D$5)</f>
        <v/>
      </c>
      <c r="P74" s="22"/>
      <c r="Q74" s="22"/>
      <c r="R74" s="18" t="str">
        <f aca="false">IF(Q74="","",Q74*IF(LEFT(L74,7)="Phase 1",Assumptions!$B$11,Assumptions!$B$12))</f>
        <v/>
      </c>
    </row>
    <row r="75" customFormat="false" ht="15" hidden="false" customHeight="true" outlineLevel="0" collapsed="false">
      <c r="C75" s="24"/>
      <c r="F75" s="22"/>
      <c r="G75" s="23"/>
      <c r="H75" s="24"/>
      <c r="J75" s="18" t="str">
        <f aca="false">IF(F75="","",F75*G75)</f>
        <v/>
      </c>
      <c r="K75" s="5" t="str">
        <f aca="false">IF(A75="","",IF(H75&lt;&gt;"",Assumptions!$D$5-H75,IF(C75="","",Assumptions!$D$5-(C75+Assumptions!$B$8))))</f>
        <v/>
      </c>
      <c r="L75" s="5" t="str">
        <f aca="false">IF(K75="","",IF(K75&lt;0,"Phase 1 (unliquidated)",IF(K75&lt;=Assumptions!$B$7,"Phase 1 (recently liquidated)",IF(K75&lt;=Assumptions!$B$6,"Protest required","Deadline passed — litigation only"))))</f>
        <v/>
      </c>
      <c r="M75" s="20" t="str">
        <f aca="false">IF(K75="","",IF(H75&lt;&gt;"",H75+Assumptions!$B$6,C75+Assumptions!$B$8+Assumptions!$B$6))</f>
        <v/>
      </c>
      <c r="N75" s="20" t="str">
        <f aca="false">IF(K75="","",IF(K75&lt;0,IF(H75&lt;&gt;"",H75+Assumptions!$B$7,C75+Assumptions!$B$8+Assumptions!$B$7),M75))</f>
        <v/>
      </c>
      <c r="O75" s="21" t="str">
        <f aca="false">IF(N75="","",N75-Assumptions!$D$5)</f>
        <v/>
      </c>
      <c r="P75" s="22"/>
      <c r="Q75" s="22"/>
      <c r="R75" s="18" t="str">
        <f aca="false">IF(Q75="","",Q75*IF(LEFT(L75,7)="Phase 1",Assumptions!$B$11,Assumptions!$B$12))</f>
        <v/>
      </c>
    </row>
    <row r="76" customFormat="false" ht="15" hidden="false" customHeight="true" outlineLevel="0" collapsed="false">
      <c r="C76" s="24"/>
      <c r="F76" s="22"/>
      <c r="G76" s="23"/>
      <c r="H76" s="24"/>
      <c r="J76" s="18" t="str">
        <f aca="false">IF(F76="","",F76*G76)</f>
        <v/>
      </c>
      <c r="K76" s="5" t="str">
        <f aca="false">IF(A76="","",IF(H76&lt;&gt;"",Assumptions!$D$5-H76,IF(C76="","",Assumptions!$D$5-(C76+Assumptions!$B$8))))</f>
        <v/>
      </c>
      <c r="L76" s="5" t="str">
        <f aca="false">IF(K76="","",IF(K76&lt;0,"Phase 1 (unliquidated)",IF(K76&lt;=Assumptions!$B$7,"Phase 1 (recently liquidated)",IF(K76&lt;=Assumptions!$B$6,"Protest required","Deadline passed — litigation only"))))</f>
        <v/>
      </c>
      <c r="M76" s="20" t="str">
        <f aca="false">IF(K76="","",IF(H76&lt;&gt;"",H76+Assumptions!$B$6,C76+Assumptions!$B$8+Assumptions!$B$6))</f>
        <v/>
      </c>
      <c r="N76" s="20" t="str">
        <f aca="false">IF(K76="","",IF(K76&lt;0,IF(H76&lt;&gt;"",H76+Assumptions!$B$7,C76+Assumptions!$B$8+Assumptions!$B$7),M76))</f>
        <v/>
      </c>
      <c r="O76" s="21" t="str">
        <f aca="false">IF(N76="","",N76-Assumptions!$D$5)</f>
        <v/>
      </c>
      <c r="P76" s="22"/>
      <c r="Q76" s="22"/>
      <c r="R76" s="18" t="str">
        <f aca="false">IF(Q76="","",Q76*IF(LEFT(L76,7)="Phase 1",Assumptions!$B$11,Assumptions!$B$12))</f>
        <v/>
      </c>
    </row>
    <row r="77" customFormat="false" ht="15" hidden="false" customHeight="true" outlineLevel="0" collapsed="false">
      <c r="C77" s="24"/>
      <c r="F77" s="22"/>
      <c r="G77" s="23"/>
      <c r="H77" s="24"/>
      <c r="J77" s="18" t="str">
        <f aca="false">IF(F77="","",F77*G77)</f>
        <v/>
      </c>
      <c r="K77" s="5" t="str">
        <f aca="false">IF(A77="","",IF(H77&lt;&gt;"",Assumptions!$D$5-H77,IF(C77="","",Assumptions!$D$5-(C77+Assumptions!$B$8))))</f>
        <v/>
      </c>
      <c r="L77" s="5" t="str">
        <f aca="false">IF(K77="","",IF(K77&lt;0,"Phase 1 (unliquidated)",IF(K77&lt;=Assumptions!$B$7,"Phase 1 (recently liquidated)",IF(K77&lt;=Assumptions!$B$6,"Protest required","Deadline passed — litigation only"))))</f>
        <v/>
      </c>
      <c r="M77" s="20" t="str">
        <f aca="false">IF(K77="","",IF(H77&lt;&gt;"",H77+Assumptions!$B$6,C77+Assumptions!$B$8+Assumptions!$B$6))</f>
        <v/>
      </c>
      <c r="N77" s="20" t="str">
        <f aca="false">IF(K77="","",IF(K77&lt;0,IF(H77&lt;&gt;"",H77+Assumptions!$B$7,C77+Assumptions!$B$8+Assumptions!$B$7),M77))</f>
        <v/>
      </c>
      <c r="O77" s="21" t="str">
        <f aca="false">IF(N77="","",N77-Assumptions!$D$5)</f>
        <v/>
      </c>
      <c r="P77" s="22"/>
      <c r="Q77" s="22"/>
      <c r="R77" s="18" t="str">
        <f aca="false">IF(Q77="","",Q77*IF(LEFT(L77,7)="Phase 1",Assumptions!$B$11,Assumptions!$B$12))</f>
        <v/>
      </c>
    </row>
    <row r="78" customFormat="false" ht="15" hidden="false" customHeight="true" outlineLevel="0" collapsed="false">
      <c r="C78" s="24"/>
      <c r="F78" s="22"/>
      <c r="G78" s="23"/>
      <c r="H78" s="24"/>
      <c r="J78" s="18" t="str">
        <f aca="false">IF(F78="","",F78*G78)</f>
        <v/>
      </c>
      <c r="K78" s="5" t="str">
        <f aca="false">IF(A78="","",IF(H78&lt;&gt;"",Assumptions!$D$5-H78,IF(C78="","",Assumptions!$D$5-(C78+Assumptions!$B$8))))</f>
        <v/>
      </c>
      <c r="L78" s="5" t="str">
        <f aca="false">IF(K78="","",IF(K78&lt;0,"Phase 1 (unliquidated)",IF(K78&lt;=Assumptions!$B$7,"Phase 1 (recently liquidated)",IF(K78&lt;=Assumptions!$B$6,"Protest required","Deadline passed — litigation only"))))</f>
        <v/>
      </c>
      <c r="M78" s="20" t="str">
        <f aca="false">IF(K78="","",IF(H78&lt;&gt;"",H78+Assumptions!$B$6,C78+Assumptions!$B$8+Assumptions!$B$6))</f>
        <v/>
      </c>
      <c r="N78" s="20" t="str">
        <f aca="false">IF(K78="","",IF(K78&lt;0,IF(H78&lt;&gt;"",H78+Assumptions!$B$7,C78+Assumptions!$B$8+Assumptions!$B$7),M78))</f>
        <v/>
      </c>
      <c r="O78" s="21" t="str">
        <f aca="false">IF(N78="","",N78-Assumptions!$D$5)</f>
        <v/>
      </c>
      <c r="P78" s="22"/>
      <c r="Q78" s="22"/>
      <c r="R78" s="18" t="str">
        <f aca="false">IF(Q78="","",Q78*IF(LEFT(L78,7)="Phase 1",Assumptions!$B$11,Assumptions!$B$12))</f>
        <v/>
      </c>
    </row>
    <row r="79" customFormat="false" ht="15" hidden="false" customHeight="true" outlineLevel="0" collapsed="false">
      <c r="C79" s="24"/>
      <c r="F79" s="22"/>
      <c r="G79" s="23"/>
      <c r="H79" s="24"/>
      <c r="J79" s="18" t="str">
        <f aca="false">IF(F79="","",F79*G79)</f>
        <v/>
      </c>
      <c r="K79" s="5" t="str">
        <f aca="false">IF(A79="","",IF(H79&lt;&gt;"",Assumptions!$D$5-H79,IF(C79="","",Assumptions!$D$5-(C79+Assumptions!$B$8))))</f>
        <v/>
      </c>
      <c r="L79" s="5" t="str">
        <f aca="false">IF(K79="","",IF(K79&lt;0,"Phase 1 (unliquidated)",IF(K79&lt;=Assumptions!$B$7,"Phase 1 (recently liquidated)",IF(K79&lt;=Assumptions!$B$6,"Protest required","Deadline passed — litigation only"))))</f>
        <v/>
      </c>
      <c r="M79" s="20" t="str">
        <f aca="false">IF(K79="","",IF(H79&lt;&gt;"",H79+Assumptions!$B$6,C79+Assumptions!$B$8+Assumptions!$B$6))</f>
        <v/>
      </c>
      <c r="N79" s="20" t="str">
        <f aca="false">IF(K79="","",IF(K79&lt;0,IF(H79&lt;&gt;"",H79+Assumptions!$B$7,C79+Assumptions!$B$8+Assumptions!$B$7),M79))</f>
        <v/>
      </c>
      <c r="O79" s="21" t="str">
        <f aca="false">IF(N79="","",N79-Assumptions!$D$5)</f>
        <v/>
      </c>
      <c r="P79" s="22"/>
      <c r="Q79" s="22"/>
      <c r="R79" s="18" t="str">
        <f aca="false">IF(Q79="","",Q79*IF(LEFT(L79,7)="Phase 1",Assumptions!$B$11,Assumptions!$B$12))</f>
        <v/>
      </c>
    </row>
    <row r="80" customFormat="false" ht="15" hidden="false" customHeight="true" outlineLevel="0" collapsed="false">
      <c r="C80" s="24"/>
      <c r="F80" s="22"/>
      <c r="G80" s="23"/>
      <c r="H80" s="24"/>
      <c r="J80" s="18" t="str">
        <f aca="false">IF(F80="","",F80*G80)</f>
        <v/>
      </c>
      <c r="K80" s="5" t="str">
        <f aca="false">IF(A80="","",IF(H80&lt;&gt;"",Assumptions!$D$5-H80,IF(C80="","",Assumptions!$D$5-(C80+Assumptions!$B$8))))</f>
        <v/>
      </c>
      <c r="L80" s="5" t="str">
        <f aca="false">IF(K80="","",IF(K80&lt;0,"Phase 1 (unliquidated)",IF(K80&lt;=Assumptions!$B$7,"Phase 1 (recently liquidated)",IF(K80&lt;=Assumptions!$B$6,"Protest required","Deadline passed — litigation only"))))</f>
        <v/>
      </c>
      <c r="M80" s="20" t="str">
        <f aca="false">IF(K80="","",IF(H80&lt;&gt;"",H80+Assumptions!$B$6,C80+Assumptions!$B$8+Assumptions!$B$6))</f>
        <v/>
      </c>
      <c r="N80" s="20" t="str">
        <f aca="false">IF(K80="","",IF(K80&lt;0,IF(H80&lt;&gt;"",H80+Assumptions!$B$7,C80+Assumptions!$B$8+Assumptions!$B$7),M80))</f>
        <v/>
      </c>
      <c r="O80" s="21" t="str">
        <f aca="false">IF(N80="","",N80-Assumptions!$D$5)</f>
        <v/>
      </c>
      <c r="P80" s="22"/>
      <c r="Q80" s="22"/>
      <c r="R80" s="18" t="str">
        <f aca="false">IF(Q80="","",Q80*IF(LEFT(L80,7)="Phase 1",Assumptions!$B$11,Assumptions!$B$12))</f>
        <v/>
      </c>
    </row>
    <row r="81" customFormat="false" ht="15" hidden="false" customHeight="true" outlineLevel="0" collapsed="false">
      <c r="C81" s="24"/>
      <c r="F81" s="22"/>
      <c r="G81" s="23"/>
      <c r="H81" s="24"/>
      <c r="J81" s="18" t="str">
        <f aca="false">IF(F81="","",F81*G81)</f>
        <v/>
      </c>
      <c r="K81" s="5" t="str">
        <f aca="false">IF(A81="","",IF(H81&lt;&gt;"",Assumptions!$D$5-H81,IF(C81="","",Assumptions!$D$5-(C81+Assumptions!$B$8))))</f>
        <v/>
      </c>
      <c r="L81" s="5" t="str">
        <f aca="false">IF(K81="","",IF(K81&lt;0,"Phase 1 (unliquidated)",IF(K81&lt;=Assumptions!$B$7,"Phase 1 (recently liquidated)",IF(K81&lt;=Assumptions!$B$6,"Protest required","Deadline passed — litigation only"))))</f>
        <v/>
      </c>
      <c r="M81" s="20" t="str">
        <f aca="false">IF(K81="","",IF(H81&lt;&gt;"",H81+Assumptions!$B$6,C81+Assumptions!$B$8+Assumptions!$B$6))</f>
        <v/>
      </c>
      <c r="N81" s="20" t="str">
        <f aca="false">IF(K81="","",IF(K81&lt;0,IF(H81&lt;&gt;"",H81+Assumptions!$B$7,C81+Assumptions!$B$8+Assumptions!$B$7),M81))</f>
        <v/>
      </c>
      <c r="O81" s="21" t="str">
        <f aca="false">IF(N81="","",N81-Assumptions!$D$5)</f>
        <v/>
      </c>
      <c r="P81" s="22"/>
      <c r="Q81" s="22"/>
      <c r="R81" s="18" t="str">
        <f aca="false">IF(Q81="","",Q81*IF(LEFT(L81,7)="Phase 1",Assumptions!$B$11,Assumptions!$B$12))</f>
        <v/>
      </c>
    </row>
    <row r="82" customFormat="false" ht="15" hidden="false" customHeight="true" outlineLevel="0" collapsed="false">
      <c r="C82" s="24"/>
      <c r="F82" s="22"/>
      <c r="G82" s="23"/>
      <c r="H82" s="24"/>
      <c r="J82" s="18" t="str">
        <f aca="false">IF(F82="","",F82*G82)</f>
        <v/>
      </c>
      <c r="K82" s="5" t="str">
        <f aca="false">IF(A82="","",IF(H82&lt;&gt;"",Assumptions!$D$5-H82,IF(C82="","",Assumptions!$D$5-(C82+Assumptions!$B$8))))</f>
        <v/>
      </c>
      <c r="L82" s="5" t="str">
        <f aca="false">IF(K82="","",IF(K82&lt;0,"Phase 1 (unliquidated)",IF(K82&lt;=Assumptions!$B$7,"Phase 1 (recently liquidated)",IF(K82&lt;=Assumptions!$B$6,"Protest required","Deadline passed — litigation only"))))</f>
        <v/>
      </c>
      <c r="M82" s="20" t="str">
        <f aca="false">IF(K82="","",IF(H82&lt;&gt;"",H82+Assumptions!$B$6,C82+Assumptions!$B$8+Assumptions!$B$6))</f>
        <v/>
      </c>
      <c r="N82" s="20" t="str">
        <f aca="false">IF(K82="","",IF(K82&lt;0,IF(H82&lt;&gt;"",H82+Assumptions!$B$7,C82+Assumptions!$B$8+Assumptions!$B$7),M82))</f>
        <v/>
      </c>
      <c r="O82" s="21" t="str">
        <f aca="false">IF(N82="","",N82-Assumptions!$D$5)</f>
        <v/>
      </c>
      <c r="P82" s="22"/>
      <c r="Q82" s="22"/>
      <c r="R82" s="18" t="str">
        <f aca="false">IF(Q82="","",Q82*IF(LEFT(L82,7)="Phase 1",Assumptions!$B$11,Assumptions!$B$12))</f>
        <v/>
      </c>
    </row>
    <row r="83" customFormat="false" ht="15" hidden="false" customHeight="true" outlineLevel="0" collapsed="false">
      <c r="C83" s="24"/>
      <c r="F83" s="22"/>
      <c r="G83" s="23"/>
      <c r="H83" s="24"/>
      <c r="J83" s="18" t="str">
        <f aca="false">IF(F83="","",F83*G83)</f>
        <v/>
      </c>
      <c r="K83" s="5" t="str">
        <f aca="false">IF(A83="","",IF(H83&lt;&gt;"",Assumptions!$D$5-H83,IF(C83="","",Assumptions!$D$5-(C83+Assumptions!$B$8))))</f>
        <v/>
      </c>
      <c r="L83" s="5" t="str">
        <f aca="false">IF(K83="","",IF(K83&lt;0,"Phase 1 (unliquidated)",IF(K83&lt;=Assumptions!$B$7,"Phase 1 (recently liquidated)",IF(K83&lt;=Assumptions!$B$6,"Protest required","Deadline passed — litigation only"))))</f>
        <v/>
      </c>
      <c r="M83" s="20" t="str">
        <f aca="false">IF(K83="","",IF(H83&lt;&gt;"",H83+Assumptions!$B$6,C83+Assumptions!$B$8+Assumptions!$B$6))</f>
        <v/>
      </c>
      <c r="N83" s="20" t="str">
        <f aca="false">IF(K83="","",IF(K83&lt;0,IF(H83&lt;&gt;"",H83+Assumptions!$B$7,C83+Assumptions!$B$8+Assumptions!$B$7),M83))</f>
        <v/>
      </c>
      <c r="O83" s="21" t="str">
        <f aca="false">IF(N83="","",N83-Assumptions!$D$5)</f>
        <v/>
      </c>
      <c r="P83" s="22"/>
      <c r="Q83" s="22"/>
      <c r="R83" s="18" t="str">
        <f aca="false">IF(Q83="","",Q83*IF(LEFT(L83,7)="Phase 1",Assumptions!$B$11,Assumptions!$B$12))</f>
        <v/>
      </c>
    </row>
    <row r="84" customFormat="false" ht="15" hidden="false" customHeight="true" outlineLevel="0" collapsed="false">
      <c r="C84" s="24"/>
      <c r="F84" s="22"/>
      <c r="G84" s="23"/>
      <c r="H84" s="24"/>
      <c r="J84" s="18" t="str">
        <f aca="false">IF(F84="","",F84*G84)</f>
        <v/>
      </c>
      <c r="K84" s="5" t="str">
        <f aca="false">IF(A84="","",IF(H84&lt;&gt;"",Assumptions!$D$5-H84,IF(C84="","",Assumptions!$D$5-(C84+Assumptions!$B$8))))</f>
        <v/>
      </c>
      <c r="L84" s="5" t="str">
        <f aca="false">IF(K84="","",IF(K84&lt;0,"Phase 1 (unliquidated)",IF(K84&lt;=Assumptions!$B$7,"Phase 1 (recently liquidated)",IF(K84&lt;=Assumptions!$B$6,"Protest required","Deadline passed — litigation only"))))</f>
        <v/>
      </c>
      <c r="M84" s="20" t="str">
        <f aca="false">IF(K84="","",IF(H84&lt;&gt;"",H84+Assumptions!$B$6,C84+Assumptions!$B$8+Assumptions!$B$6))</f>
        <v/>
      </c>
      <c r="N84" s="20" t="str">
        <f aca="false">IF(K84="","",IF(K84&lt;0,IF(H84&lt;&gt;"",H84+Assumptions!$B$7,C84+Assumptions!$B$8+Assumptions!$B$7),M84))</f>
        <v/>
      </c>
      <c r="O84" s="21" t="str">
        <f aca="false">IF(N84="","",N84-Assumptions!$D$5)</f>
        <v/>
      </c>
      <c r="P84" s="22"/>
      <c r="Q84" s="22"/>
      <c r="R84" s="18" t="str">
        <f aca="false">IF(Q84="","",Q84*IF(LEFT(L84,7)="Phase 1",Assumptions!$B$11,Assumptions!$B$12))</f>
        <v/>
      </c>
    </row>
    <row r="85" customFormat="false" ht="15" hidden="false" customHeight="true" outlineLevel="0" collapsed="false">
      <c r="C85" s="24"/>
      <c r="F85" s="22"/>
      <c r="G85" s="23"/>
      <c r="H85" s="24"/>
      <c r="J85" s="18" t="str">
        <f aca="false">IF(F85="","",F85*G85)</f>
        <v/>
      </c>
      <c r="K85" s="5" t="str">
        <f aca="false">IF(A85="","",IF(H85&lt;&gt;"",Assumptions!$D$5-H85,IF(C85="","",Assumptions!$D$5-(C85+Assumptions!$B$8))))</f>
        <v/>
      </c>
      <c r="L85" s="5" t="str">
        <f aca="false">IF(K85="","",IF(K85&lt;0,"Phase 1 (unliquidated)",IF(K85&lt;=Assumptions!$B$7,"Phase 1 (recently liquidated)",IF(K85&lt;=Assumptions!$B$6,"Protest required","Deadline passed — litigation only"))))</f>
        <v/>
      </c>
      <c r="M85" s="20" t="str">
        <f aca="false">IF(K85="","",IF(H85&lt;&gt;"",H85+Assumptions!$B$6,C85+Assumptions!$B$8+Assumptions!$B$6))</f>
        <v/>
      </c>
      <c r="N85" s="20" t="str">
        <f aca="false">IF(K85="","",IF(K85&lt;0,IF(H85&lt;&gt;"",H85+Assumptions!$B$7,C85+Assumptions!$B$8+Assumptions!$B$7),M85))</f>
        <v/>
      </c>
      <c r="O85" s="21" t="str">
        <f aca="false">IF(N85="","",N85-Assumptions!$D$5)</f>
        <v/>
      </c>
      <c r="P85" s="22"/>
      <c r="Q85" s="22"/>
      <c r="R85" s="18" t="str">
        <f aca="false">IF(Q85="","",Q85*IF(LEFT(L85,7)="Phase 1",Assumptions!$B$11,Assumptions!$B$12))</f>
        <v/>
      </c>
    </row>
    <row r="86" customFormat="false" ht="15" hidden="false" customHeight="true" outlineLevel="0" collapsed="false">
      <c r="C86" s="24"/>
      <c r="F86" s="22"/>
      <c r="G86" s="23"/>
      <c r="H86" s="24"/>
      <c r="J86" s="18" t="str">
        <f aca="false">IF(F86="","",F86*G86)</f>
        <v/>
      </c>
      <c r="K86" s="5" t="str">
        <f aca="false">IF(A86="","",IF(H86&lt;&gt;"",Assumptions!$D$5-H86,IF(C86="","",Assumptions!$D$5-(C86+Assumptions!$B$8))))</f>
        <v/>
      </c>
      <c r="L86" s="5" t="str">
        <f aca="false">IF(K86="","",IF(K86&lt;0,"Phase 1 (unliquidated)",IF(K86&lt;=Assumptions!$B$7,"Phase 1 (recently liquidated)",IF(K86&lt;=Assumptions!$B$6,"Protest required","Deadline passed — litigation only"))))</f>
        <v/>
      </c>
      <c r="M86" s="20" t="str">
        <f aca="false">IF(K86="","",IF(H86&lt;&gt;"",H86+Assumptions!$B$6,C86+Assumptions!$B$8+Assumptions!$B$6))</f>
        <v/>
      </c>
      <c r="N86" s="20" t="str">
        <f aca="false">IF(K86="","",IF(K86&lt;0,IF(H86&lt;&gt;"",H86+Assumptions!$B$7,C86+Assumptions!$B$8+Assumptions!$B$7),M86))</f>
        <v/>
      </c>
      <c r="O86" s="21" t="str">
        <f aca="false">IF(N86="","",N86-Assumptions!$D$5)</f>
        <v/>
      </c>
      <c r="P86" s="22"/>
      <c r="Q86" s="22"/>
      <c r="R86" s="18" t="str">
        <f aca="false">IF(Q86="","",Q86*IF(LEFT(L86,7)="Phase 1",Assumptions!$B$11,Assumptions!$B$12))</f>
        <v/>
      </c>
    </row>
    <row r="87" customFormat="false" ht="15" hidden="false" customHeight="true" outlineLevel="0" collapsed="false">
      <c r="C87" s="24"/>
      <c r="F87" s="22"/>
      <c r="G87" s="23"/>
      <c r="H87" s="24"/>
      <c r="J87" s="18" t="str">
        <f aca="false">IF(F87="","",F87*G87)</f>
        <v/>
      </c>
      <c r="K87" s="5" t="str">
        <f aca="false">IF(A87="","",IF(H87&lt;&gt;"",Assumptions!$D$5-H87,IF(C87="","",Assumptions!$D$5-(C87+Assumptions!$B$8))))</f>
        <v/>
      </c>
      <c r="L87" s="5" t="str">
        <f aca="false">IF(K87="","",IF(K87&lt;0,"Phase 1 (unliquidated)",IF(K87&lt;=Assumptions!$B$7,"Phase 1 (recently liquidated)",IF(K87&lt;=Assumptions!$B$6,"Protest required","Deadline passed — litigation only"))))</f>
        <v/>
      </c>
      <c r="M87" s="20" t="str">
        <f aca="false">IF(K87="","",IF(H87&lt;&gt;"",H87+Assumptions!$B$6,C87+Assumptions!$B$8+Assumptions!$B$6))</f>
        <v/>
      </c>
      <c r="N87" s="20" t="str">
        <f aca="false">IF(K87="","",IF(K87&lt;0,IF(H87&lt;&gt;"",H87+Assumptions!$B$7,C87+Assumptions!$B$8+Assumptions!$B$7),M87))</f>
        <v/>
      </c>
      <c r="O87" s="21" t="str">
        <f aca="false">IF(N87="","",N87-Assumptions!$D$5)</f>
        <v/>
      </c>
      <c r="P87" s="22"/>
      <c r="Q87" s="22"/>
      <c r="R87" s="18" t="str">
        <f aca="false">IF(Q87="","",Q87*IF(LEFT(L87,7)="Phase 1",Assumptions!$B$11,Assumptions!$B$12))</f>
        <v/>
      </c>
    </row>
    <row r="88" customFormat="false" ht="15" hidden="false" customHeight="true" outlineLevel="0" collapsed="false">
      <c r="C88" s="24"/>
      <c r="F88" s="22"/>
      <c r="G88" s="23"/>
      <c r="H88" s="24"/>
      <c r="J88" s="18" t="str">
        <f aca="false">IF(F88="","",F88*G88)</f>
        <v/>
      </c>
      <c r="K88" s="5" t="str">
        <f aca="false">IF(A88="","",IF(H88&lt;&gt;"",Assumptions!$D$5-H88,IF(C88="","",Assumptions!$D$5-(C88+Assumptions!$B$8))))</f>
        <v/>
      </c>
      <c r="L88" s="5" t="str">
        <f aca="false">IF(K88="","",IF(K88&lt;0,"Phase 1 (unliquidated)",IF(K88&lt;=Assumptions!$B$7,"Phase 1 (recently liquidated)",IF(K88&lt;=Assumptions!$B$6,"Protest required","Deadline passed — litigation only"))))</f>
        <v/>
      </c>
      <c r="M88" s="20" t="str">
        <f aca="false">IF(K88="","",IF(H88&lt;&gt;"",H88+Assumptions!$B$6,C88+Assumptions!$B$8+Assumptions!$B$6))</f>
        <v/>
      </c>
      <c r="N88" s="20" t="str">
        <f aca="false">IF(K88="","",IF(K88&lt;0,IF(H88&lt;&gt;"",H88+Assumptions!$B$7,C88+Assumptions!$B$8+Assumptions!$B$7),M88))</f>
        <v/>
      </c>
      <c r="O88" s="21" t="str">
        <f aca="false">IF(N88="","",N88-Assumptions!$D$5)</f>
        <v/>
      </c>
      <c r="P88" s="22"/>
      <c r="Q88" s="22"/>
      <c r="R88" s="18" t="str">
        <f aca="false">IF(Q88="","",Q88*IF(LEFT(L88,7)="Phase 1",Assumptions!$B$11,Assumptions!$B$12))</f>
        <v/>
      </c>
    </row>
    <row r="89" customFormat="false" ht="15" hidden="false" customHeight="true" outlineLevel="0" collapsed="false">
      <c r="C89" s="24"/>
      <c r="F89" s="22"/>
      <c r="G89" s="23"/>
      <c r="H89" s="24"/>
      <c r="J89" s="18" t="str">
        <f aca="false">IF(F89="","",F89*G89)</f>
        <v/>
      </c>
      <c r="K89" s="5" t="str">
        <f aca="false">IF(A89="","",IF(H89&lt;&gt;"",Assumptions!$D$5-H89,IF(C89="","",Assumptions!$D$5-(C89+Assumptions!$B$8))))</f>
        <v/>
      </c>
      <c r="L89" s="5" t="str">
        <f aca="false">IF(K89="","",IF(K89&lt;0,"Phase 1 (unliquidated)",IF(K89&lt;=Assumptions!$B$7,"Phase 1 (recently liquidated)",IF(K89&lt;=Assumptions!$B$6,"Protest required","Deadline passed — litigation only"))))</f>
        <v/>
      </c>
      <c r="M89" s="20" t="str">
        <f aca="false">IF(K89="","",IF(H89&lt;&gt;"",H89+Assumptions!$B$6,C89+Assumptions!$B$8+Assumptions!$B$6))</f>
        <v/>
      </c>
      <c r="N89" s="20" t="str">
        <f aca="false">IF(K89="","",IF(K89&lt;0,IF(H89&lt;&gt;"",H89+Assumptions!$B$7,C89+Assumptions!$B$8+Assumptions!$B$7),M89))</f>
        <v/>
      </c>
      <c r="O89" s="21" t="str">
        <f aca="false">IF(N89="","",N89-Assumptions!$D$5)</f>
        <v/>
      </c>
      <c r="P89" s="22"/>
      <c r="Q89" s="22"/>
      <c r="R89" s="18" t="str">
        <f aca="false">IF(Q89="","",Q89*IF(LEFT(L89,7)="Phase 1",Assumptions!$B$11,Assumptions!$B$12))</f>
        <v/>
      </c>
    </row>
    <row r="90" customFormat="false" ht="15" hidden="false" customHeight="true" outlineLevel="0" collapsed="false">
      <c r="C90" s="24"/>
      <c r="F90" s="22"/>
      <c r="G90" s="23"/>
      <c r="H90" s="24"/>
      <c r="J90" s="18" t="str">
        <f aca="false">IF(F90="","",F90*G90)</f>
        <v/>
      </c>
      <c r="K90" s="5" t="str">
        <f aca="false">IF(A90="","",IF(H90&lt;&gt;"",Assumptions!$D$5-H90,IF(C90="","",Assumptions!$D$5-(C90+Assumptions!$B$8))))</f>
        <v/>
      </c>
      <c r="L90" s="5" t="str">
        <f aca="false">IF(K90="","",IF(K90&lt;0,"Phase 1 (unliquidated)",IF(K90&lt;=Assumptions!$B$7,"Phase 1 (recently liquidated)",IF(K90&lt;=Assumptions!$B$6,"Protest required","Deadline passed — litigation only"))))</f>
        <v/>
      </c>
      <c r="M90" s="20" t="str">
        <f aca="false">IF(K90="","",IF(H90&lt;&gt;"",H90+Assumptions!$B$6,C90+Assumptions!$B$8+Assumptions!$B$6))</f>
        <v/>
      </c>
      <c r="N90" s="20" t="str">
        <f aca="false">IF(K90="","",IF(K90&lt;0,IF(H90&lt;&gt;"",H90+Assumptions!$B$7,C90+Assumptions!$B$8+Assumptions!$B$7),M90))</f>
        <v/>
      </c>
      <c r="O90" s="21" t="str">
        <f aca="false">IF(N90="","",N90-Assumptions!$D$5)</f>
        <v/>
      </c>
      <c r="P90" s="22"/>
      <c r="Q90" s="22"/>
      <c r="R90" s="18" t="str">
        <f aca="false">IF(Q90="","",Q90*IF(LEFT(L90,7)="Phase 1",Assumptions!$B$11,Assumptions!$B$12))</f>
        <v/>
      </c>
    </row>
    <row r="91" customFormat="false" ht="15" hidden="false" customHeight="true" outlineLevel="0" collapsed="false">
      <c r="C91" s="24"/>
      <c r="F91" s="22"/>
      <c r="G91" s="23"/>
      <c r="H91" s="24"/>
      <c r="J91" s="18" t="str">
        <f aca="false">IF(F91="","",F91*G91)</f>
        <v/>
      </c>
      <c r="K91" s="5" t="str">
        <f aca="false">IF(A91="","",IF(H91&lt;&gt;"",Assumptions!$D$5-H91,IF(C91="","",Assumptions!$D$5-(C91+Assumptions!$B$8))))</f>
        <v/>
      </c>
      <c r="L91" s="5" t="str">
        <f aca="false">IF(K91="","",IF(K91&lt;0,"Phase 1 (unliquidated)",IF(K91&lt;=Assumptions!$B$7,"Phase 1 (recently liquidated)",IF(K91&lt;=Assumptions!$B$6,"Protest required","Deadline passed — litigation only"))))</f>
        <v/>
      </c>
      <c r="M91" s="20" t="str">
        <f aca="false">IF(K91="","",IF(H91&lt;&gt;"",H91+Assumptions!$B$6,C91+Assumptions!$B$8+Assumptions!$B$6))</f>
        <v/>
      </c>
      <c r="N91" s="20" t="str">
        <f aca="false">IF(K91="","",IF(K91&lt;0,IF(H91&lt;&gt;"",H91+Assumptions!$B$7,C91+Assumptions!$B$8+Assumptions!$B$7),M91))</f>
        <v/>
      </c>
      <c r="O91" s="21" t="str">
        <f aca="false">IF(N91="","",N91-Assumptions!$D$5)</f>
        <v/>
      </c>
      <c r="P91" s="22"/>
      <c r="Q91" s="22"/>
      <c r="R91" s="18" t="str">
        <f aca="false">IF(Q91="","",Q91*IF(LEFT(L91,7)="Phase 1",Assumptions!$B$11,Assumptions!$B$12))</f>
        <v/>
      </c>
    </row>
    <row r="92" customFormat="false" ht="15" hidden="false" customHeight="true" outlineLevel="0" collapsed="false">
      <c r="C92" s="24"/>
      <c r="F92" s="22"/>
      <c r="G92" s="23"/>
      <c r="H92" s="24"/>
      <c r="J92" s="18" t="str">
        <f aca="false">IF(F92="","",F92*G92)</f>
        <v/>
      </c>
      <c r="K92" s="5" t="str">
        <f aca="false">IF(A92="","",IF(H92&lt;&gt;"",Assumptions!$D$5-H92,IF(C92="","",Assumptions!$D$5-(C92+Assumptions!$B$8))))</f>
        <v/>
      </c>
      <c r="L92" s="5" t="str">
        <f aca="false">IF(K92="","",IF(K92&lt;0,"Phase 1 (unliquidated)",IF(K92&lt;=Assumptions!$B$7,"Phase 1 (recently liquidated)",IF(K92&lt;=Assumptions!$B$6,"Protest required","Deadline passed — litigation only"))))</f>
        <v/>
      </c>
      <c r="M92" s="20" t="str">
        <f aca="false">IF(K92="","",IF(H92&lt;&gt;"",H92+Assumptions!$B$6,C92+Assumptions!$B$8+Assumptions!$B$6))</f>
        <v/>
      </c>
      <c r="N92" s="20" t="str">
        <f aca="false">IF(K92="","",IF(K92&lt;0,IF(H92&lt;&gt;"",H92+Assumptions!$B$7,C92+Assumptions!$B$8+Assumptions!$B$7),M92))</f>
        <v/>
      </c>
      <c r="O92" s="21" t="str">
        <f aca="false">IF(N92="","",N92-Assumptions!$D$5)</f>
        <v/>
      </c>
      <c r="P92" s="22"/>
      <c r="Q92" s="22"/>
      <c r="R92" s="18" t="str">
        <f aca="false">IF(Q92="","",Q92*IF(LEFT(L92,7)="Phase 1",Assumptions!$B$11,Assumptions!$B$12))</f>
        <v/>
      </c>
    </row>
    <row r="93" customFormat="false" ht="15" hidden="false" customHeight="true" outlineLevel="0" collapsed="false">
      <c r="C93" s="24"/>
      <c r="F93" s="22"/>
      <c r="G93" s="23"/>
      <c r="H93" s="24"/>
      <c r="J93" s="18" t="str">
        <f aca="false">IF(F93="","",F93*G93)</f>
        <v/>
      </c>
      <c r="K93" s="5" t="str">
        <f aca="false">IF(A93="","",IF(H93&lt;&gt;"",Assumptions!$D$5-H93,IF(C93="","",Assumptions!$D$5-(C93+Assumptions!$B$8))))</f>
        <v/>
      </c>
      <c r="L93" s="5" t="str">
        <f aca="false">IF(K93="","",IF(K93&lt;0,"Phase 1 (unliquidated)",IF(K93&lt;=Assumptions!$B$7,"Phase 1 (recently liquidated)",IF(K93&lt;=Assumptions!$B$6,"Protest required","Deadline passed — litigation only"))))</f>
        <v/>
      </c>
      <c r="M93" s="20" t="str">
        <f aca="false">IF(K93="","",IF(H93&lt;&gt;"",H93+Assumptions!$B$6,C93+Assumptions!$B$8+Assumptions!$B$6))</f>
        <v/>
      </c>
      <c r="N93" s="20" t="str">
        <f aca="false">IF(K93="","",IF(K93&lt;0,IF(H93&lt;&gt;"",H93+Assumptions!$B$7,C93+Assumptions!$B$8+Assumptions!$B$7),M93))</f>
        <v/>
      </c>
      <c r="O93" s="21" t="str">
        <f aca="false">IF(N93="","",N93-Assumptions!$D$5)</f>
        <v/>
      </c>
      <c r="P93" s="22"/>
      <c r="Q93" s="22"/>
      <c r="R93" s="18" t="str">
        <f aca="false">IF(Q93="","",Q93*IF(LEFT(L93,7)="Phase 1",Assumptions!$B$11,Assumptions!$B$12))</f>
        <v/>
      </c>
    </row>
    <row r="94" customFormat="false" ht="15" hidden="false" customHeight="true" outlineLevel="0" collapsed="false">
      <c r="C94" s="24"/>
      <c r="F94" s="22"/>
      <c r="G94" s="23"/>
      <c r="H94" s="24"/>
      <c r="J94" s="18" t="str">
        <f aca="false">IF(F94="","",F94*G94)</f>
        <v/>
      </c>
      <c r="K94" s="5" t="str">
        <f aca="false">IF(A94="","",IF(H94&lt;&gt;"",Assumptions!$D$5-H94,IF(C94="","",Assumptions!$D$5-(C94+Assumptions!$B$8))))</f>
        <v/>
      </c>
      <c r="L94" s="5" t="str">
        <f aca="false">IF(K94="","",IF(K94&lt;0,"Phase 1 (unliquidated)",IF(K94&lt;=Assumptions!$B$7,"Phase 1 (recently liquidated)",IF(K94&lt;=Assumptions!$B$6,"Protest required","Deadline passed — litigation only"))))</f>
        <v/>
      </c>
      <c r="M94" s="20" t="str">
        <f aca="false">IF(K94="","",IF(H94&lt;&gt;"",H94+Assumptions!$B$6,C94+Assumptions!$B$8+Assumptions!$B$6))</f>
        <v/>
      </c>
      <c r="N94" s="20" t="str">
        <f aca="false">IF(K94="","",IF(K94&lt;0,IF(H94&lt;&gt;"",H94+Assumptions!$B$7,C94+Assumptions!$B$8+Assumptions!$B$7),M94))</f>
        <v/>
      </c>
      <c r="O94" s="21" t="str">
        <f aca="false">IF(N94="","",N94-Assumptions!$D$5)</f>
        <v/>
      </c>
      <c r="P94" s="22"/>
      <c r="Q94" s="22"/>
      <c r="R94" s="18" t="str">
        <f aca="false">IF(Q94="","",Q94*IF(LEFT(L94,7)="Phase 1",Assumptions!$B$11,Assumptions!$B$12))</f>
        <v/>
      </c>
    </row>
    <row r="95" customFormat="false" ht="15" hidden="false" customHeight="true" outlineLevel="0" collapsed="false">
      <c r="C95" s="24"/>
      <c r="F95" s="22"/>
      <c r="G95" s="23"/>
      <c r="H95" s="24"/>
      <c r="J95" s="18" t="str">
        <f aca="false">IF(F95="","",F95*G95)</f>
        <v/>
      </c>
      <c r="K95" s="5" t="str">
        <f aca="false">IF(A95="","",IF(H95&lt;&gt;"",Assumptions!$D$5-H95,IF(C95="","",Assumptions!$D$5-(C95+Assumptions!$B$8))))</f>
        <v/>
      </c>
      <c r="L95" s="5" t="str">
        <f aca="false">IF(K95="","",IF(K95&lt;0,"Phase 1 (unliquidated)",IF(K95&lt;=Assumptions!$B$7,"Phase 1 (recently liquidated)",IF(K95&lt;=Assumptions!$B$6,"Protest required","Deadline passed — litigation only"))))</f>
        <v/>
      </c>
      <c r="M95" s="20" t="str">
        <f aca="false">IF(K95="","",IF(H95&lt;&gt;"",H95+Assumptions!$B$6,C95+Assumptions!$B$8+Assumptions!$B$6))</f>
        <v/>
      </c>
      <c r="N95" s="20" t="str">
        <f aca="false">IF(K95="","",IF(K95&lt;0,IF(H95&lt;&gt;"",H95+Assumptions!$B$7,C95+Assumptions!$B$8+Assumptions!$B$7),M95))</f>
        <v/>
      </c>
      <c r="O95" s="21" t="str">
        <f aca="false">IF(N95="","",N95-Assumptions!$D$5)</f>
        <v/>
      </c>
      <c r="P95" s="22"/>
      <c r="Q95" s="22"/>
      <c r="R95" s="18" t="str">
        <f aca="false">IF(Q95="","",Q95*IF(LEFT(L95,7)="Phase 1",Assumptions!$B$11,Assumptions!$B$12))</f>
        <v/>
      </c>
    </row>
    <row r="96" customFormat="false" ht="15" hidden="false" customHeight="true" outlineLevel="0" collapsed="false">
      <c r="C96" s="24"/>
      <c r="F96" s="22"/>
      <c r="G96" s="23"/>
      <c r="H96" s="24"/>
      <c r="J96" s="18" t="str">
        <f aca="false">IF(F96="","",F96*G96)</f>
        <v/>
      </c>
      <c r="K96" s="5" t="str">
        <f aca="false">IF(A96="","",IF(H96&lt;&gt;"",Assumptions!$D$5-H96,IF(C96="","",Assumptions!$D$5-(C96+Assumptions!$B$8))))</f>
        <v/>
      </c>
      <c r="L96" s="5" t="str">
        <f aca="false">IF(K96="","",IF(K96&lt;0,"Phase 1 (unliquidated)",IF(K96&lt;=Assumptions!$B$7,"Phase 1 (recently liquidated)",IF(K96&lt;=Assumptions!$B$6,"Protest required","Deadline passed — litigation only"))))</f>
        <v/>
      </c>
      <c r="M96" s="20" t="str">
        <f aca="false">IF(K96="","",IF(H96&lt;&gt;"",H96+Assumptions!$B$6,C96+Assumptions!$B$8+Assumptions!$B$6))</f>
        <v/>
      </c>
      <c r="N96" s="20" t="str">
        <f aca="false">IF(K96="","",IF(K96&lt;0,IF(H96&lt;&gt;"",H96+Assumptions!$B$7,C96+Assumptions!$B$8+Assumptions!$B$7),M96))</f>
        <v/>
      </c>
      <c r="O96" s="21" t="str">
        <f aca="false">IF(N96="","",N96-Assumptions!$D$5)</f>
        <v/>
      </c>
      <c r="P96" s="22"/>
      <c r="Q96" s="22"/>
      <c r="R96" s="18" t="str">
        <f aca="false">IF(Q96="","",Q96*IF(LEFT(L96,7)="Phase 1",Assumptions!$B$11,Assumptions!$B$12))</f>
        <v/>
      </c>
    </row>
    <row r="97" customFormat="false" ht="15" hidden="false" customHeight="true" outlineLevel="0" collapsed="false">
      <c r="C97" s="24"/>
      <c r="F97" s="22"/>
      <c r="G97" s="23"/>
      <c r="H97" s="24"/>
      <c r="J97" s="18" t="str">
        <f aca="false">IF(F97="","",F97*G97)</f>
        <v/>
      </c>
      <c r="K97" s="5" t="str">
        <f aca="false">IF(A97="","",IF(H97&lt;&gt;"",Assumptions!$D$5-H97,IF(C97="","",Assumptions!$D$5-(C97+Assumptions!$B$8))))</f>
        <v/>
      </c>
      <c r="L97" s="5" t="str">
        <f aca="false">IF(K97="","",IF(K97&lt;0,"Phase 1 (unliquidated)",IF(K97&lt;=Assumptions!$B$7,"Phase 1 (recently liquidated)",IF(K97&lt;=Assumptions!$B$6,"Protest required","Deadline passed — litigation only"))))</f>
        <v/>
      </c>
      <c r="M97" s="20" t="str">
        <f aca="false">IF(K97="","",IF(H97&lt;&gt;"",H97+Assumptions!$B$6,C97+Assumptions!$B$8+Assumptions!$B$6))</f>
        <v/>
      </c>
      <c r="N97" s="20" t="str">
        <f aca="false">IF(K97="","",IF(K97&lt;0,IF(H97&lt;&gt;"",H97+Assumptions!$B$7,C97+Assumptions!$B$8+Assumptions!$B$7),M97))</f>
        <v/>
      </c>
      <c r="O97" s="21" t="str">
        <f aca="false">IF(N97="","",N97-Assumptions!$D$5)</f>
        <v/>
      </c>
      <c r="P97" s="22"/>
      <c r="Q97" s="22"/>
      <c r="R97" s="18" t="str">
        <f aca="false">IF(Q97="","",Q97*IF(LEFT(L97,7)="Phase 1",Assumptions!$B$11,Assumptions!$B$12))</f>
        <v/>
      </c>
    </row>
    <row r="98" customFormat="false" ht="15" hidden="false" customHeight="true" outlineLevel="0" collapsed="false">
      <c r="C98" s="24"/>
      <c r="F98" s="22"/>
      <c r="G98" s="23"/>
      <c r="H98" s="24"/>
      <c r="J98" s="18" t="str">
        <f aca="false">IF(F98="","",F98*G98)</f>
        <v/>
      </c>
      <c r="K98" s="5" t="str">
        <f aca="false">IF(A98="","",IF(H98&lt;&gt;"",Assumptions!$D$5-H98,IF(C98="","",Assumptions!$D$5-(C98+Assumptions!$B$8))))</f>
        <v/>
      </c>
      <c r="L98" s="5" t="str">
        <f aca="false">IF(K98="","",IF(K98&lt;0,"Phase 1 (unliquidated)",IF(K98&lt;=Assumptions!$B$7,"Phase 1 (recently liquidated)",IF(K98&lt;=Assumptions!$B$6,"Protest required","Deadline passed — litigation only"))))</f>
        <v/>
      </c>
      <c r="M98" s="20" t="str">
        <f aca="false">IF(K98="","",IF(H98&lt;&gt;"",H98+Assumptions!$B$6,C98+Assumptions!$B$8+Assumptions!$B$6))</f>
        <v/>
      </c>
      <c r="N98" s="20" t="str">
        <f aca="false">IF(K98="","",IF(K98&lt;0,IF(H98&lt;&gt;"",H98+Assumptions!$B$7,C98+Assumptions!$B$8+Assumptions!$B$7),M98))</f>
        <v/>
      </c>
      <c r="O98" s="21" t="str">
        <f aca="false">IF(N98="","",N98-Assumptions!$D$5)</f>
        <v/>
      </c>
      <c r="P98" s="22"/>
      <c r="Q98" s="22"/>
      <c r="R98" s="18" t="str">
        <f aca="false">IF(Q98="","",Q98*IF(LEFT(L98,7)="Phase 1",Assumptions!$B$11,Assumptions!$B$12))</f>
        <v/>
      </c>
    </row>
    <row r="99" customFormat="false" ht="15" hidden="false" customHeight="true" outlineLevel="0" collapsed="false">
      <c r="C99" s="24"/>
      <c r="F99" s="22"/>
      <c r="G99" s="23"/>
      <c r="H99" s="24"/>
      <c r="J99" s="18" t="str">
        <f aca="false">IF(F99="","",F99*G99)</f>
        <v/>
      </c>
      <c r="K99" s="5" t="str">
        <f aca="false">IF(A99="","",IF(H99&lt;&gt;"",Assumptions!$D$5-H99,IF(C99="","",Assumptions!$D$5-(C99+Assumptions!$B$8))))</f>
        <v/>
      </c>
      <c r="L99" s="5" t="str">
        <f aca="false">IF(K99="","",IF(K99&lt;0,"Phase 1 (unliquidated)",IF(K99&lt;=Assumptions!$B$7,"Phase 1 (recently liquidated)",IF(K99&lt;=Assumptions!$B$6,"Protest required","Deadline passed — litigation only"))))</f>
        <v/>
      </c>
      <c r="M99" s="20" t="str">
        <f aca="false">IF(K99="","",IF(H99&lt;&gt;"",H99+Assumptions!$B$6,C99+Assumptions!$B$8+Assumptions!$B$6))</f>
        <v/>
      </c>
      <c r="N99" s="20" t="str">
        <f aca="false">IF(K99="","",IF(K99&lt;0,IF(H99&lt;&gt;"",H99+Assumptions!$B$7,C99+Assumptions!$B$8+Assumptions!$B$7),M99))</f>
        <v/>
      </c>
      <c r="O99" s="21" t="str">
        <f aca="false">IF(N99="","",N99-Assumptions!$D$5)</f>
        <v/>
      </c>
      <c r="P99" s="22"/>
      <c r="Q99" s="22"/>
      <c r="R99" s="18" t="str">
        <f aca="false">IF(Q99="","",Q99*IF(LEFT(L99,7)="Phase 1",Assumptions!$B$11,Assumptions!$B$12))</f>
        <v/>
      </c>
    </row>
    <row r="100" customFormat="false" ht="15" hidden="false" customHeight="true" outlineLevel="0" collapsed="false">
      <c r="C100" s="24"/>
      <c r="F100" s="22"/>
      <c r="G100" s="23"/>
      <c r="H100" s="24"/>
      <c r="J100" s="18" t="str">
        <f aca="false">IF(F100="","",F100*G100)</f>
        <v/>
      </c>
      <c r="K100" s="5" t="str">
        <f aca="false">IF(A100="","",IF(H100&lt;&gt;"",Assumptions!$D$5-H100,IF(C100="","",Assumptions!$D$5-(C100+Assumptions!$B$8))))</f>
        <v/>
      </c>
      <c r="L100" s="5" t="str">
        <f aca="false">IF(K100="","",IF(K100&lt;0,"Phase 1 (unliquidated)",IF(K100&lt;=Assumptions!$B$7,"Phase 1 (recently liquidated)",IF(K100&lt;=Assumptions!$B$6,"Protest required","Deadline passed — litigation only"))))</f>
        <v/>
      </c>
      <c r="M100" s="20" t="str">
        <f aca="false">IF(K100="","",IF(H100&lt;&gt;"",H100+Assumptions!$B$6,C100+Assumptions!$B$8+Assumptions!$B$6))</f>
        <v/>
      </c>
      <c r="N100" s="20" t="str">
        <f aca="false">IF(K100="","",IF(K100&lt;0,IF(H100&lt;&gt;"",H100+Assumptions!$B$7,C100+Assumptions!$B$8+Assumptions!$B$7),M100))</f>
        <v/>
      </c>
      <c r="O100" s="21" t="str">
        <f aca="false">IF(N100="","",N100-Assumptions!$D$5)</f>
        <v/>
      </c>
      <c r="P100" s="22"/>
      <c r="Q100" s="22"/>
      <c r="R100" s="18" t="str">
        <f aca="false">IF(Q100="","",Q100*IF(LEFT(L100,7)="Phase 1",Assumptions!$B$11,Assumptions!$B$12))</f>
        <v/>
      </c>
    </row>
    <row r="101" customFormat="false" ht="15" hidden="false" customHeight="true" outlineLevel="0" collapsed="false">
      <c r="C101" s="24"/>
      <c r="F101" s="22"/>
      <c r="G101" s="23"/>
      <c r="H101" s="24"/>
      <c r="J101" s="18" t="str">
        <f aca="false">IF(F101="","",F101*G101)</f>
        <v/>
      </c>
      <c r="K101" s="5" t="str">
        <f aca="false">IF(A101="","",IF(H101&lt;&gt;"",Assumptions!$D$5-H101,IF(C101="","",Assumptions!$D$5-(C101+Assumptions!$B$8))))</f>
        <v/>
      </c>
      <c r="L101" s="5" t="str">
        <f aca="false">IF(K101="","",IF(K101&lt;0,"Phase 1 (unliquidated)",IF(K101&lt;=Assumptions!$B$7,"Phase 1 (recently liquidated)",IF(K101&lt;=Assumptions!$B$6,"Protest required","Deadline passed — litigation only"))))</f>
        <v/>
      </c>
      <c r="M101" s="20" t="str">
        <f aca="false">IF(K101="","",IF(H101&lt;&gt;"",H101+Assumptions!$B$6,C101+Assumptions!$B$8+Assumptions!$B$6))</f>
        <v/>
      </c>
      <c r="N101" s="20" t="str">
        <f aca="false">IF(K101="","",IF(K101&lt;0,IF(H101&lt;&gt;"",H101+Assumptions!$B$7,C101+Assumptions!$B$8+Assumptions!$B$7),M101))</f>
        <v/>
      </c>
      <c r="O101" s="21" t="str">
        <f aca="false">IF(N101="","",N101-Assumptions!$D$5)</f>
        <v/>
      </c>
      <c r="P101" s="22"/>
      <c r="Q101" s="22"/>
      <c r="R101" s="18" t="str">
        <f aca="false">IF(Q101="","",Q101*IF(LEFT(L101,7)="Phase 1",Assumptions!$B$11,Assumptions!$B$12))</f>
        <v/>
      </c>
    </row>
    <row r="102" customFormat="false" ht="15" hidden="false" customHeight="true" outlineLevel="0" collapsed="false">
      <c r="C102" s="24"/>
      <c r="F102" s="22"/>
      <c r="G102" s="23"/>
      <c r="H102" s="24"/>
      <c r="J102" s="18" t="str">
        <f aca="false">IF(F102="","",F102*G102)</f>
        <v/>
      </c>
      <c r="K102" s="5" t="str">
        <f aca="false">IF(A102="","",IF(H102&lt;&gt;"",Assumptions!$D$5-H102,IF(C102="","",Assumptions!$D$5-(C102+Assumptions!$B$8))))</f>
        <v/>
      </c>
      <c r="L102" s="5" t="str">
        <f aca="false">IF(K102="","",IF(K102&lt;0,"Phase 1 (unliquidated)",IF(K102&lt;=Assumptions!$B$7,"Phase 1 (recently liquidated)",IF(K102&lt;=Assumptions!$B$6,"Protest required","Deadline passed — litigation only"))))</f>
        <v/>
      </c>
      <c r="M102" s="20" t="str">
        <f aca="false">IF(K102="","",IF(H102&lt;&gt;"",H102+Assumptions!$B$6,C102+Assumptions!$B$8+Assumptions!$B$6))</f>
        <v/>
      </c>
      <c r="N102" s="20" t="str">
        <f aca="false">IF(K102="","",IF(K102&lt;0,IF(H102&lt;&gt;"",H102+Assumptions!$B$7,C102+Assumptions!$B$8+Assumptions!$B$7),M102))</f>
        <v/>
      </c>
      <c r="O102" s="21" t="str">
        <f aca="false">IF(N102="","",N102-Assumptions!$D$5)</f>
        <v/>
      </c>
      <c r="P102" s="22"/>
      <c r="Q102" s="22"/>
      <c r="R102" s="18" t="str">
        <f aca="false">IF(Q102="","",Q102*IF(LEFT(L102,7)="Phase 1",Assumptions!$B$11,Assumptions!$B$12))</f>
        <v/>
      </c>
    </row>
    <row r="103" customFormat="false" ht="15" hidden="false" customHeight="true" outlineLevel="0" collapsed="false">
      <c r="C103" s="24"/>
      <c r="F103" s="22"/>
      <c r="G103" s="23"/>
      <c r="H103" s="24"/>
      <c r="J103" s="18" t="str">
        <f aca="false">IF(F103="","",F103*G103)</f>
        <v/>
      </c>
      <c r="K103" s="5" t="str">
        <f aca="false">IF(A103="","",IF(H103&lt;&gt;"",Assumptions!$D$5-H103,IF(C103="","",Assumptions!$D$5-(C103+Assumptions!$B$8))))</f>
        <v/>
      </c>
      <c r="L103" s="5" t="str">
        <f aca="false">IF(K103="","",IF(K103&lt;0,"Phase 1 (unliquidated)",IF(K103&lt;=Assumptions!$B$7,"Phase 1 (recently liquidated)",IF(K103&lt;=Assumptions!$B$6,"Protest required","Deadline passed — litigation only"))))</f>
        <v/>
      </c>
      <c r="M103" s="20" t="str">
        <f aca="false">IF(K103="","",IF(H103&lt;&gt;"",H103+Assumptions!$B$6,C103+Assumptions!$B$8+Assumptions!$B$6))</f>
        <v/>
      </c>
      <c r="N103" s="20" t="str">
        <f aca="false">IF(K103="","",IF(K103&lt;0,IF(H103&lt;&gt;"",H103+Assumptions!$B$7,C103+Assumptions!$B$8+Assumptions!$B$7),M103))</f>
        <v/>
      </c>
      <c r="O103" s="21" t="str">
        <f aca="false">IF(N103="","",N103-Assumptions!$D$5)</f>
        <v/>
      </c>
      <c r="P103" s="22"/>
      <c r="Q103" s="22"/>
      <c r="R103" s="18" t="str">
        <f aca="false">IF(Q103="","",Q103*IF(LEFT(L103,7)="Phase 1",Assumptions!$B$11,Assumptions!$B$12))</f>
        <v/>
      </c>
    </row>
    <row r="104" customFormat="false" ht="15" hidden="false" customHeight="true" outlineLevel="0" collapsed="false">
      <c r="C104" s="24"/>
      <c r="F104" s="22"/>
      <c r="G104" s="23"/>
      <c r="H104" s="24"/>
      <c r="J104" s="18" t="str">
        <f aca="false">IF(F104="","",F104*G104)</f>
        <v/>
      </c>
      <c r="K104" s="5" t="str">
        <f aca="false">IF(A104="","",IF(H104&lt;&gt;"",Assumptions!$D$5-H104,IF(C104="","",Assumptions!$D$5-(C104+Assumptions!$B$8))))</f>
        <v/>
      </c>
      <c r="L104" s="5" t="str">
        <f aca="false">IF(K104="","",IF(K104&lt;0,"Phase 1 (unliquidated)",IF(K104&lt;=Assumptions!$B$7,"Phase 1 (recently liquidated)",IF(K104&lt;=Assumptions!$B$6,"Protest required","Deadline passed — litigation only"))))</f>
        <v/>
      </c>
      <c r="M104" s="20" t="str">
        <f aca="false">IF(K104="","",IF(H104&lt;&gt;"",H104+Assumptions!$B$6,C104+Assumptions!$B$8+Assumptions!$B$6))</f>
        <v/>
      </c>
      <c r="N104" s="20" t="str">
        <f aca="false">IF(K104="","",IF(K104&lt;0,IF(H104&lt;&gt;"",H104+Assumptions!$B$7,C104+Assumptions!$B$8+Assumptions!$B$7),M104))</f>
        <v/>
      </c>
      <c r="O104" s="21" t="str">
        <f aca="false">IF(N104="","",N104-Assumptions!$D$5)</f>
        <v/>
      </c>
      <c r="P104" s="22"/>
      <c r="Q104" s="22"/>
      <c r="R104" s="18" t="str">
        <f aca="false">IF(Q104="","",Q104*IF(LEFT(L104,7)="Phase 1",Assumptions!$B$11,Assumptions!$B$12))</f>
        <v/>
      </c>
    </row>
    <row r="105" customFormat="false" ht="15" hidden="false" customHeight="true" outlineLevel="0" collapsed="false">
      <c r="C105" s="24"/>
      <c r="F105" s="22"/>
      <c r="G105" s="23"/>
      <c r="H105" s="24"/>
      <c r="J105" s="18" t="str">
        <f aca="false">IF(F105="","",F105*G105)</f>
        <v/>
      </c>
      <c r="K105" s="5" t="str">
        <f aca="false">IF(A105="","",IF(H105&lt;&gt;"",Assumptions!$D$5-H105,IF(C105="","",Assumptions!$D$5-(C105+Assumptions!$B$8))))</f>
        <v/>
      </c>
      <c r="L105" s="5" t="str">
        <f aca="false">IF(K105="","",IF(K105&lt;0,"Phase 1 (unliquidated)",IF(K105&lt;=Assumptions!$B$7,"Phase 1 (recently liquidated)",IF(K105&lt;=Assumptions!$B$6,"Protest required","Deadline passed — litigation only"))))</f>
        <v/>
      </c>
      <c r="M105" s="20" t="str">
        <f aca="false">IF(K105="","",IF(H105&lt;&gt;"",H105+Assumptions!$B$6,C105+Assumptions!$B$8+Assumptions!$B$6))</f>
        <v/>
      </c>
      <c r="N105" s="20" t="str">
        <f aca="false">IF(K105="","",IF(K105&lt;0,IF(H105&lt;&gt;"",H105+Assumptions!$B$7,C105+Assumptions!$B$8+Assumptions!$B$7),M105))</f>
        <v/>
      </c>
      <c r="O105" s="21" t="str">
        <f aca="false">IF(N105="","",N105-Assumptions!$D$5)</f>
        <v/>
      </c>
      <c r="P105" s="22"/>
      <c r="Q105" s="22"/>
      <c r="R105" s="18" t="str">
        <f aca="false">IF(Q105="","",Q105*IF(LEFT(L105,7)="Phase 1",Assumptions!$B$11,Assumptions!$B$12))</f>
        <v/>
      </c>
    </row>
    <row r="106" customFormat="false" ht="15" hidden="false" customHeight="true" outlineLevel="0" collapsed="false">
      <c r="C106" s="24"/>
      <c r="F106" s="22"/>
      <c r="G106" s="23"/>
      <c r="H106" s="24"/>
      <c r="J106" s="18" t="str">
        <f aca="false">IF(F106="","",F106*G106)</f>
        <v/>
      </c>
      <c r="K106" s="5" t="str">
        <f aca="false">IF(A106="","",IF(H106&lt;&gt;"",Assumptions!$D$5-H106,IF(C106="","",Assumptions!$D$5-(C106+Assumptions!$B$8))))</f>
        <v/>
      </c>
      <c r="L106" s="5" t="str">
        <f aca="false">IF(K106="","",IF(K106&lt;0,"Phase 1 (unliquidated)",IF(K106&lt;=Assumptions!$B$7,"Phase 1 (recently liquidated)",IF(K106&lt;=Assumptions!$B$6,"Protest required","Deadline passed — litigation only"))))</f>
        <v/>
      </c>
      <c r="M106" s="20" t="str">
        <f aca="false">IF(K106="","",IF(H106&lt;&gt;"",H106+Assumptions!$B$6,C106+Assumptions!$B$8+Assumptions!$B$6))</f>
        <v/>
      </c>
      <c r="N106" s="20" t="str">
        <f aca="false">IF(K106="","",IF(K106&lt;0,IF(H106&lt;&gt;"",H106+Assumptions!$B$7,C106+Assumptions!$B$8+Assumptions!$B$7),M106))</f>
        <v/>
      </c>
      <c r="O106" s="21" t="str">
        <f aca="false">IF(N106="","",N106-Assumptions!$D$5)</f>
        <v/>
      </c>
      <c r="P106" s="22"/>
      <c r="Q106" s="22"/>
      <c r="R106" s="18" t="str">
        <f aca="false">IF(Q106="","",Q106*IF(LEFT(L106,7)="Phase 1",Assumptions!$B$11,Assumptions!$B$12))</f>
        <v/>
      </c>
    </row>
    <row r="107" customFormat="false" ht="15" hidden="false" customHeight="true" outlineLevel="0" collapsed="false">
      <c r="C107" s="24"/>
      <c r="F107" s="22"/>
      <c r="G107" s="23"/>
      <c r="H107" s="24"/>
      <c r="J107" s="18" t="str">
        <f aca="false">IF(F107="","",F107*G107)</f>
        <v/>
      </c>
      <c r="K107" s="5" t="str">
        <f aca="false">IF(A107="","",IF(H107&lt;&gt;"",Assumptions!$D$5-H107,IF(C107="","",Assumptions!$D$5-(C107+Assumptions!$B$8))))</f>
        <v/>
      </c>
      <c r="L107" s="5" t="str">
        <f aca="false">IF(K107="","",IF(K107&lt;0,"Phase 1 (unliquidated)",IF(K107&lt;=Assumptions!$B$7,"Phase 1 (recently liquidated)",IF(K107&lt;=Assumptions!$B$6,"Protest required","Deadline passed — litigation only"))))</f>
        <v/>
      </c>
      <c r="M107" s="20" t="str">
        <f aca="false">IF(K107="","",IF(H107&lt;&gt;"",H107+Assumptions!$B$6,C107+Assumptions!$B$8+Assumptions!$B$6))</f>
        <v/>
      </c>
      <c r="N107" s="20" t="str">
        <f aca="false">IF(K107="","",IF(K107&lt;0,IF(H107&lt;&gt;"",H107+Assumptions!$B$7,C107+Assumptions!$B$8+Assumptions!$B$7),M107))</f>
        <v/>
      </c>
      <c r="O107" s="21" t="str">
        <f aca="false">IF(N107="","",N107-Assumptions!$D$5)</f>
        <v/>
      </c>
      <c r="P107" s="22"/>
      <c r="Q107" s="22"/>
      <c r="R107" s="18" t="str">
        <f aca="false">IF(Q107="","",Q107*IF(LEFT(L107,7)="Phase 1",Assumptions!$B$11,Assumptions!$B$12))</f>
        <v/>
      </c>
    </row>
    <row r="108" customFormat="false" ht="15" hidden="false" customHeight="true" outlineLevel="0" collapsed="false">
      <c r="C108" s="24"/>
      <c r="F108" s="22"/>
      <c r="G108" s="23"/>
      <c r="H108" s="24"/>
      <c r="J108" s="18" t="str">
        <f aca="false">IF(F108="","",F108*G108)</f>
        <v/>
      </c>
      <c r="K108" s="5" t="str">
        <f aca="false">IF(A108="","",IF(H108&lt;&gt;"",Assumptions!$D$5-H108,IF(C108="","",Assumptions!$D$5-(C108+Assumptions!$B$8))))</f>
        <v/>
      </c>
      <c r="L108" s="5" t="str">
        <f aca="false">IF(K108="","",IF(K108&lt;0,"Phase 1 (unliquidated)",IF(K108&lt;=Assumptions!$B$7,"Phase 1 (recently liquidated)",IF(K108&lt;=Assumptions!$B$6,"Protest required","Deadline passed — litigation only"))))</f>
        <v/>
      </c>
      <c r="M108" s="20" t="str">
        <f aca="false">IF(K108="","",IF(H108&lt;&gt;"",H108+Assumptions!$B$6,C108+Assumptions!$B$8+Assumptions!$B$6))</f>
        <v/>
      </c>
      <c r="N108" s="20" t="str">
        <f aca="false">IF(K108="","",IF(K108&lt;0,IF(H108&lt;&gt;"",H108+Assumptions!$B$7,C108+Assumptions!$B$8+Assumptions!$B$7),M108))</f>
        <v/>
      </c>
      <c r="O108" s="21" t="str">
        <f aca="false">IF(N108="","",N108-Assumptions!$D$5)</f>
        <v/>
      </c>
      <c r="P108" s="22"/>
      <c r="Q108" s="22"/>
      <c r="R108" s="18" t="str">
        <f aca="false">IF(Q108="","",Q108*IF(LEFT(L108,7)="Phase 1",Assumptions!$B$11,Assumptions!$B$12))</f>
        <v/>
      </c>
    </row>
    <row r="109" customFormat="false" ht="15" hidden="false" customHeight="true" outlineLevel="0" collapsed="false">
      <c r="C109" s="24"/>
      <c r="F109" s="22"/>
      <c r="G109" s="23"/>
      <c r="H109" s="24"/>
      <c r="J109" s="18" t="str">
        <f aca="false">IF(F109="","",F109*G109)</f>
        <v/>
      </c>
      <c r="K109" s="5" t="str">
        <f aca="false">IF(A109="","",IF(H109&lt;&gt;"",Assumptions!$D$5-H109,IF(C109="","",Assumptions!$D$5-(C109+Assumptions!$B$8))))</f>
        <v/>
      </c>
      <c r="L109" s="5" t="str">
        <f aca="false">IF(K109="","",IF(K109&lt;0,"Phase 1 (unliquidated)",IF(K109&lt;=Assumptions!$B$7,"Phase 1 (recently liquidated)",IF(K109&lt;=Assumptions!$B$6,"Protest required","Deadline passed — litigation only"))))</f>
        <v/>
      </c>
      <c r="M109" s="20" t="str">
        <f aca="false">IF(K109="","",IF(H109&lt;&gt;"",H109+Assumptions!$B$6,C109+Assumptions!$B$8+Assumptions!$B$6))</f>
        <v/>
      </c>
      <c r="N109" s="20" t="str">
        <f aca="false">IF(K109="","",IF(K109&lt;0,IF(H109&lt;&gt;"",H109+Assumptions!$B$7,C109+Assumptions!$B$8+Assumptions!$B$7),M109))</f>
        <v/>
      </c>
      <c r="O109" s="21" t="str">
        <f aca="false">IF(N109="","",N109-Assumptions!$D$5)</f>
        <v/>
      </c>
      <c r="P109" s="22"/>
      <c r="Q109" s="22"/>
      <c r="R109" s="18" t="str">
        <f aca="false">IF(Q109="","",Q109*IF(LEFT(L109,7)="Phase 1",Assumptions!$B$11,Assumptions!$B$12))</f>
        <v/>
      </c>
    </row>
    <row r="110" customFormat="false" ht="15" hidden="false" customHeight="true" outlineLevel="0" collapsed="false">
      <c r="C110" s="24"/>
      <c r="F110" s="22"/>
      <c r="G110" s="23"/>
      <c r="H110" s="24"/>
      <c r="J110" s="18" t="str">
        <f aca="false">IF(F110="","",F110*G110)</f>
        <v/>
      </c>
      <c r="K110" s="5" t="str">
        <f aca="false">IF(A110="","",IF(H110&lt;&gt;"",Assumptions!$D$5-H110,IF(C110="","",Assumptions!$D$5-(C110+Assumptions!$B$8))))</f>
        <v/>
      </c>
      <c r="L110" s="5" t="str">
        <f aca="false">IF(K110="","",IF(K110&lt;0,"Phase 1 (unliquidated)",IF(K110&lt;=Assumptions!$B$7,"Phase 1 (recently liquidated)",IF(K110&lt;=Assumptions!$B$6,"Protest required","Deadline passed — litigation only"))))</f>
        <v/>
      </c>
      <c r="M110" s="20" t="str">
        <f aca="false">IF(K110="","",IF(H110&lt;&gt;"",H110+Assumptions!$B$6,C110+Assumptions!$B$8+Assumptions!$B$6))</f>
        <v/>
      </c>
      <c r="N110" s="20" t="str">
        <f aca="false">IF(K110="","",IF(K110&lt;0,IF(H110&lt;&gt;"",H110+Assumptions!$B$7,C110+Assumptions!$B$8+Assumptions!$B$7),M110))</f>
        <v/>
      </c>
      <c r="O110" s="21" t="str">
        <f aca="false">IF(N110="","",N110-Assumptions!$D$5)</f>
        <v/>
      </c>
      <c r="P110" s="22"/>
      <c r="Q110" s="22"/>
      <c r="R110" s="18" t="str">
        <f aca="false">IF(Q110="","",Q110*IF(LEFT(L110,7)="Phase 1",Assumptions!$B$11,Assumptions!$B$12))</f>
        <v/>
      </c>
    </row>
    <row r="111" customFormat="false" ht="15" hidden="false" customHeight="true" outlineLevel="0" collapsed="false">
      <c r="C111" s="24"/>
      <c r="F111" s="22"/>
      <c r="G111" s="23"/>
      <c r="H111" s="24"/>
      <c r="J111" s="18" t="str">
        <f aca="false">IF(F111="","",F111*G111)</f>
        <v/>
      </c>
      <c r="K111" s="5" t="str">
        <f aca="false">IF(A111="","",IF(H111&lt;&gt;"",Assumptions!$D$5-H111,IF(C111="","",Assumptions!$D$5-(C111+Assumptions!$B$8))))</f>
        <v/>
      </c>
      <c r="L111" s="5" t="str">
        <f aca="false">IF(K111="","",IF(K111&lt;0,"Phase 1 (unliquidated)",IF(K111&lt;=Assumptions!$B$7,"Phase 1 (recently liquidated)",IF(K111&lt;=Assumptions!$B$6,"Protest required","Deadline passed — litigation only"))))</f>
        <v/>
      </c>
      <c r="M111" s="20" t="str">
        <f aca="false">IF(K111="","",IF(H111&lt;&gt;"",H111+Assumptions!$B$6,C111+Assumptions!$B$8+Assumptions!$B$6))</f>
        <v/>
      </c>
      <c r="N111" s="20" t="str">
        <f aca="false">IF(K111="","",IF(K111&lt;0,IF(H111&lt;&gt;"",H111+Assumptions!$B$7,C111+Assumptions!$B$8+Assumptions!$B$7),M111))</f>
        <v/>
      </c>
      <c r="O111" s="21" t="str">
        <f aca="false">IF(N111="","",N111-Assumptions!$D$5)</f>
        <v/>
      </c>
      <c r="P111" s="22"/>
      <c r="Q111" s="22"/>
      <c r="R111" s="18" t="str">
        <f aca="false">IF(Q111="","",Q111*IF(LEFT(L111,7)="Phase 1",Assumptions!$B$11,Assumptions!$B$12))</f>
        <v/>
      </c>
    </row>
    <row r="112" customFormat="false" ht="15" hidden="false" customHeight="true" outlineLevel="0" collapsed="false">
      <c r="C112" s="24"/>
      <c r="F112" s="22"/>
      <c r="G112" s="23"/>
      <c r="H112" s="24"/>
      <c r="J112" s="18" t="str">
        <f aca="false">IF(F112="","",F112*G112)</f>
        <v/>
      </c>
      <c r="K112" s="5" t="str">
        <f aca="false">IF(A112="","",IF(H112&lt;&gt;"",Assumptions!$D$5-H112,IF(C112="","",Assumptions!$D$5-(C112+Assumptions!$B$8))))</f>
        <v/>
      </c>
      <c r="L112" s="5" t="str">
        <f aca="false">IF(K112="","",IF(K112&lt;0,"Phase 1 (unliquidated)",IF(K112&lt;=Assumptions!$B$7,"Phase 1 (recently liquidated)",IF(K112&lt;=Assumptions!$B$6,"Protest required","Deadline passed — litigation only"))))</f>
        <v/>
      </c>
      <c r="M112" s="20" t="str">
        <f aca="false">IF(K112="","",IF(H112&lt;&gt;"",H112+Assumptions!$B$6,C112+Assumptions!$B$8+Assumptions!$B$6))</f>
        <v/>
      </c>
      <c r="N112" s="20" t="str">
        <f aca="false">IF(K112="","",IF(K112&lt;0,IF(H112&lt;&gt;"",H112+Assumptions!$B$7,C112+Assumptions!$B$8+Assumptions!$B$7),M112))</f>
        <v/>
      </c>
      <c r="O112" s="21" t="str">
        <f aca="false">IF(N112="","",N112-Assumptions!$D$5)</f>
        <v/>
      </c>
      <c r="P112" s="22"/>
      <c r="Q112" s="22"/>
      <c r="R112" s="18" t="str">
        <f aca="false">IF(Q112="","",Q112*IF(LEFT(L112,7)="Phase 1",Assumptions!$B$11,Assumptions!$B$12))</f>
        <v/>
      </c>
    </row>
    <row r="113" customFormat="false" ht="15" hidden="false" customHeight="true" outlineLevel="0" collapsed="false">
      <c r="C113" s="24"/>
      <c r="F113" s="22"/>
      <c r="G113" s="23"/>
      <c r="H113" s="24"/>
      <c r="J113" s="18" t="str">
        <f aca="false">IF(F113="","",F113*G113)</f>
        <v/>
      </c>
      <c r="K113" s="5" t="str">
        <f aca="false">IF(A113="","",IF(H113&lt;&gt;"",Assumptions!$D$5-H113,IF(C113="","",Assumptions!$D$5-(C113+Assumptions!$B$8))))</f>
        <v/>
      </c>
      <c r="L113" s="5" t="str">
        <f aca="false">IF(K113="","",IF(K113&lt;0,"Phase 1 (unliquidated)",IF(K113&lt;=Assumptions!$B$7,"Phase 1 (recently liquidated)",IF(K113&lt;=Assumptions!$B$6,"Protest required","Deadline passed — litigation only"))))</f>
        <v/>
      </c>
      <c r="M113" s="20" t="str">
        <f aca="false">IF(K113="","",IF(H113&lt;&gt;"",H113+Assumptions!$B$6,C113+Assumptions!$B$8+Assumptions!$B$6))</f>
        <v/>
      </c>
      <c r="N113" s="20" t="str">
        <f aca="false">IF(K113="","",IF(K113&lt;0,IF(H113&lt;&gt;"",H113+Assumptions!$B$7,C113+Assumptions!$B$8+Assumptions!$B$7),M113))</f>
        <v/>
      </c>
      <c r="O113" s="21" t="str">
        <f aca="false">IF(N113="","",N113-Assumptions!$D$5)</f>
        <v/>
      </c>
      <c r="P113" s="22"/>
      <c r="Q113" s="22"/>
      <c r="R113" s="18" t="str">
        <f aca="false">IF(Q113="","",Q113*IF(LEFT(L113,7)="Phase 1",Assumptions!$B$11,Assumptions!$B$12))</f>
        <v/>
      </c>
    </row>
    <row r="114" customFormat="false" ht="15" hidden="false" customHeight="true" outlineLevel="0" collapsed="false">
      <c r="C114" s="24"/>
      <c r="F114" s="22"/>
      <c r="G114" s="23"/>
      <c r="H114" s="24"/>
      <c r="J114" s="18" t="str">
        <f aca="false">IF(F114="","",F114*G114)</f>
        <v/>
      </c>
      <c r="K114" s="5" t="str">
        <f aca="false">IF(A114="","",IF(H114&lt;&gt;"",Assumptions!$D$5-H114,IF(C114="","",Assumptions!$D$5-(C114+Assumptions!$B$8))))</f>
        <v/>
      </c>
      <c r="L114" s="5" t="str">
        <f aca="false">IF(K114="","",IF(K114&lt;0,"Phase 1 (unliquidated)",IF(K114&lt;=Assumptions!$B$7,"Phase 1 (recently liquidated)",IF(K114&lt;=Assumptions!$B$6,"Protest required","Deadline passed — litigation only"))))</f>
        <v/>
      </c>
      <c r="M114" s="20" t="str">
        <f aca="false">IF(K114="","",IF(H114&lt;&gt;"",H114+Assumptions!$B$6,C114+Assumptions!$B$8+Assumptions!$B$6))</f>
        <v/>
      </c>
      <c r="N114" s="20" t="str">
        <f aca="false">IF(K114="","",IF(K114&lt;0,IF(H114&lt;&gt;"",H114+Assumptions!$B$7,C114+Assumptions!$B$8+Assumptions!$B$7),M114))</f>
        <v/>
      </c>
      <c r="O114" s="21" t="str">
        <f aca="false">IF(N114="","",N114-Assumptions!$D$5)</f>
        <v/>
      </c>
      <c r="P114" s="22"/>
      <c r="Q114" s="22"/>
      <c r="R114" s="18" t="str">
        <f aca="false">IF(Q114="","",Q114*IF(LEFT(L114,7)="Phase 1",Assumptions!$B$11,Assumptions!$B$12))</f>
        <v/>
      </c>
    </row>
    <row r="115" customFormat="false" ht="15" hidden="false" customHeight="true" outlineLevel="0" collapsed="false">
      <c r="C115" s="24"/>
      <c r="F115" s="22"/>
      <c r="G115" s="23"/>
      <c r="H115" s="24"/>
      <c r="J115" s="18" t="str">
        <f aca="false">IF(F115="","",F115*G115)</f>
        <v/>
      </c>
      <c r="K115" s="5" t="str">
        <f aca="false">IF(A115="","",IF(H115&lt;&gt;"",Assumptions!$D$5-H115,IF(C115="","",Assumptions!$D$5-(C115+Assumptions!$B$8))))</f>
        <v/>
      </c>
      <c r="L115" s="5" t="str">
        <f aca="false">IF(K115="","",IF(K115&lt;0,"Phase 1 (unliquidated)",IF(K115&lt;=Assumptions!$B$7,"Phase 1 (recently liquidated)",IF(K115&lt;=Assumptions!$B$6,"Protest required","Deadline passed — litigation only"))))</f>
        <v/>
      </c>
      <c r="M115" s="20" t="str">
        <f aca="false">IF(K115="","",IF(H115&lt;&gt;"",H115+Assumptions!$B$6,C115+Assumptions!$B$8+Assumptions!$B$6))</f>
        <v/>
      </c>
      <c r="N115" s="20" t="str">
        <f aca="false">IF(K115="","",IF(K115&lt;0,IF(H115&lt;&gt;"",H115+Assumptions!$B$7,C115+Assumptions!$B$8+Assumptions!$B$7),M115))</f>
        <v/>
      </c>
      <c r="O115" s="21" t="str">
        <f aca="false">IF(N115="","",N115-Assumptions!$D$5)</f>
        <v/>
      </c>
      <c r="P115" s="22"/>
      <c r="Q115" s="22"/>
      <c r="R115" s="18" t="str">
        <f aca="false">IF(Q115="","",Q115*IF(LEFT(L115,7)="Phase 1",Assumptions!$B$11,Assumptions!$B$12))</f>
        <v/>
      </c>
    </row>
    <row r="116" customFormat="false" ht="15" hidden="false" customHeight="true" outlineLevel="0" collapsed="false">
      <c r="C116" s="24"/>
      <c r="F116" s="22"/>
      <c r="G116" s="23"/>
      <c r="H116" s="24"/>
      <c r="J116" s="18" t="str">
        <f aca="false">IF(F116="","",F116*G116)</f>
        <v/>
      </c>
      <c r="K116" s="5" t="str">
        <f aca="false">IF(A116="","",IF(H116&lt;&gt;"",Assumptions!$D$5-H116,IF(C116="","",Assumptions!$D$5-(C116+Assumptions!$B$8))))</f>
        <v/>
      </c>
      <c r="L116" s="5" t="str">
        <f aca="false">IF(K116="","",IF(K116&lt;0,"Phase 1 (unliquidated)",IF(K116&lt;=Assumptions!$B$7,"Phase 1 (recently liquidated)",IF(K116&lt;=Assumptions!$B$6,"Protest required","Deadline passed — litigation only"))))</f>
        <v/>
      </c>
      <c r="M116" s="20" t="str">
        <f aca="false">IF(K116="","",IF(H116&lt;&gt;"",H116+Assumptions!$B$6,C116+Assumptions!$B$8+Assumptions!$B$6))</f>
        <v/>
      </c>
      <c r="N116" s="20" t="str">
        <f aca="false">IF(K116="","",IF(K116&lt;0,IF(H116&lt;&gt;"",H116+Assumptions!$B$7,C116+Assumptions!$B$8+Assumptions!$B$7),M116))</f>
        <v/>
      </c>
      <c r="O116" s="21" t="str">
        <f aca="false">IF(N116="","",N116-Assumptions!$D$5)</f>
        <v/>
      </c>
      <c r="P116" s="22"/>
      <c r="Q116" s="22"/>
      <c r="R116" s="18" t="str">
        <f aca="false">IF(Q116="","",Q116*IF(LEFT(L116,7)="Phase 1",Assumptions!$B$11,Assumptions!$B$12))</f>
        <v/>
      </c>
    </row>
    <row r="117" customFormat="false" ht="15" hidden="false" customHeight="true" outlineLevel="0" collapsed="false">
      <c r="C117" s="24"/>
      <c r="F117" s="22"/>
      <c r="G117" s="23"/>
      <c r="H117" s="24"/>
      <c r="J117" s="18" t="str">
        <f aca="false">IF(F117="","",F117*G117)</f>
        <v/>
      </c>
      <c r="K117" s="5" t="str">
        <f aca="false">IF(A117="","",IF(H117&lt;&gt;"",Assumptions!$D$5-H117,IF(C117="","",Assumptions!$D$5-(C117+Assumptions!$B$8))))</f>
        <v/>
      </c>
      <c r="L117" s="5" t="str">
        <f aca="false">IF(K117="","",IF(K117&lt;0,"Phase 1 (unliquidated)",IF(K117&lt;=Assumptions!$B$7,"Phase 1 (recently liquidated)",IF(K117&lt;=Assumptions!$B$6,"Protest required","Deadline passed — litigation only"))))</f>
        <v/>
      </c>
      <c r="M117" s="20" t="str">
        <f aca="false">IF(K117="","",IF(H117&lt;&gt;"",H117+Assumptions!$B$6,C117+Assumptions!$B$8+Assumptions!$B$6))</f>
        <v/>
      </c>
      <c r="N117" s="20" t="str">
        <f aca="false">IF(K117="","",IF(K117&lt;0,IF(H117&lt;&gt;"",H117+Assumptions!$B$7,C117+Assumptions!$B$8+Assumptions!$B$7),M117))</f>
        <v/>
      </c>
      <c r="O117" s="21" t="str">
        <f aca="false">IF(N117="","",N117-Assumptions!$D$5)</f>
        <v/>
      </c>
      <c r="P117" s="22"/>
      <c r="Q117" s="22"/>
      <c r="R117" s="18" t="str">
        <f aca="false">IF(Q117="","",Q117*IF(LEFT(L117,7)="Phase 1",Assumptions!$B$11,Assumptions!$B$12))</f>
        <v/>
      </c>
    </row>
    <row r="118" customFormat="false" ht="15" hidden="false" customHeight="true" outlineLevel="0" collapsed="false">
      <c r="C118" s="24"/>
      <c r="F118" s="22"/>
      <c r="G118" s="23"/>
      <c r="H118" s="24"/>
      <c r="J118" s="18" t="str">
        <f aca="false">IF(F118="","",F118*G118)</f>
        <v/>
      </c>
      <c r="K118" s="5" t="str">
        <f aca="false">IF(A118="","",IF(H118&lt;&gt;"",Assumptions!$D$5-H118,IF(C118="","",Assumptions!$D$5-(C118+Assumptions!$B$8))))</f>
        <v/>
      </c>
      <c r="L118" s="5" t="str">
        <f aca="false">IF(K118="","",IF(K118&lt;0,"Phase 1 (unliquidated)",IF(K118&lt;=Assumptions!$B$7,"Phase 1 (recently liquidated)",IF(K118&lt;=Assumptions!$B$6,"Protest required","Deadline passed — litigation only"))))</f>
        <v/>
      </c>
      <c r="M118" s="20" t="str">
        <f aca="false">IF(K118="","",IF(H118&lt;&gt;"",H118+Assumptions!$B$6,C118+Assumptions!$B$8+Assumptions!$B$6))</f>
        <v/>
      </c>
      <c r="N118" s="20" t="str">
        <f aca="false">IF(K118="","",IF(K118&lt;0,IF(H118&lt;&gt;"",H118+Assumptions!$B$7,C118+Assumptions!$B$8+Assumptions!$B$7),M118))</f>
        <v/>
      </c>
      <c r="O118" s="21" t="str">
        <f aca="false">IF(N118="","",N118-Assumptions!$D$5)</f>
        <v/>
      </c>
      <c r="P118" s="22"/>
      <c r="Q118" s="22"/>
      <c r="R118" s="18" t="str">
        <f aca="false">IF(Q118="","",Q118*IF(LEFT(L118,7)="Phase 1",Assumptions!$B$11,Assumptions!$B$12))</f>
        <v/>
      </c>
    </row>
    <row r="119" customFormat="false" ht="15" hidden="false" customHeight="true" outlineLevel="0" collapsed="false">
      <c r="C119" s="24"/>
      <c r="F119" s="22"/>
      <c r="G119" s="23"/>
      <c r="H119" s="24"/>
      <c r="J119" s="18" t="str">
        <f aca="false">IF(F119="","",F119*G119)</f>
        <v/>
      </c>
      <c r="K119" s="5" t="str">
        <f aca="false">IF(A119="","",IF(H119&lt;&gt;"",Assumptions!$D$5-H119,IF(C119="","",Assumptions!$D$5-(C119+Assumptions!$B$8))))</f>
        <v/>
      </c>
      <c r="L119" s="5" t="str">
        <f aca="false">IF(K119="","",IF(K119&lt;0,"Phase 1 (unliquidated)",IF(K119&lt;=Assumptions!$B$7,"Phase 1 (recently liquidated)",IF(K119&lt;=Assumptions!$B$6,"Protest required","Deadline passed — litigation only"))))</f>
        <v/>
      </c>
      <c r="M119" s="20" t="str">
        <f aca="false">IF(K119="","",IF(H119&lt;&gt;"",H119+Assumptions!$B$6,C119+Assumptions!$B$8+Assumptions!$B$6))</f>
        <v/>
      </c>
      <c r="N119" s="20" t="str">
        <f aca="false">IF(K119="","",IF(K119&lt;0,IF(H119&lt;&gt;"",H119+Assumptions!$B$7,C119+Assumptions!$B$8+Assumptions!$B$7),M119))</f>
        <v/>
      </c>
      <c r="O119" s="21" t="str">
        <f aca="false">IF(N119="","",N119-Assumptions!$D$5)</f>
        <v/>
      </c>
      <c r="P119" s="22"/>
      <c r="Q119" s="22"/>
      <c r="R119" s="18" t="str">
        <f aca="false">IF(Q119="","",Q119*IF(LEFT(L119,7)="Phase 1",Assumptions!$B$11,Assumptions!$B$12))</f>
        <v/>
      </c>
    </row>
    <row r="120" customFormat="false" ht="15" hidden="false" customHeight="true" outlineLevel="0" collapsed="false">
      <c r="C120" s="24"/>
      <c r="F120" s="22"/>
      <c r="G120" s="23"/>
      <c r="H120" s="24"/>
      <c r="J120" s="18" t="str">
        <f aca="false">IF(F120="","",F120*G120)</f>
        <v/>
      </c>
      <c r="K120" s="5" t="str">
        <f aca="false">IF(A120="","",IF(H120&lt;&gt;"",Assumptions!$D$5-H120,IF(C120="","",Assumptions!$D$5-(C120+Assumptions!$B$8))))</f>
        <v/>
      </c>
      <c r="L120" s="5" t="str">
        <f aca="false">IF(K120="","",IF(K120&lt;0,"Phase 1 (unliquidated)",IF(K120&lt;=Assumptions!$B$7,"Phase 1 (recently liquidated)",IF(K120&lt;=Assumptions!$B$6,"Protest required","Deadline passed — litigation only"))))</f>
        <v/>
      </c>
      <c r="M120" s="20" t="str">
        <f aca="false">IF(K120="","",IF(H120&lt;&gt;"",H120+Assumptions!$B$6,C120+Assumptions!$B$8+Assumptions!$B$6))</f>
        <v/>
      </c>
      <c r="N120" s="20" t="str">
        <f aca="false">IF(K120="","",IF(K120&lt;0,IF(H120&lt;&gt;"",H120+Assumptions!$B$7,C120+Assumptions!$B$8+Assumptions!$B$7),M120))</f>
        <v/>
      </c>
      <c r="O120" s="21" t="str">
        <f aca="false">IF(N120="","",N120-Assumptions!$D$5)</f>
        <v/>
      </c>
      <c r="P120" s="22"/>
      <c r="Q120" s="22"/>
      <c r="R120" s="18" t="str">
        <f aca="false">IF(Q120="","",Q120*IF(LEFT(L120,7)="Phase 1",Assumptions!$B$11,Assumptions!$B$12))</f>
        <v/>
      </c>
    </row>
    <row r="121" customFormat="false" ht="15" hidden="false" customHeight="true" outlineLevel="0" collapsed="false">
      <c r="C121" s="24"/>
      <c r="F121" s="22"/>
      <c r="G121" s="23"/>
      <c r="H121" s="24"/>
      <c r="J121" s="18" t="str">
        <f aca="false">IF(F121="","",F121*G121)</f>
        <v/>
      </c>
      <c r="K121" s="5" t="str">
        <f aca="false">IF(A121="","",IF(H121&lt;&gt;"",Assumptions!$D$5-H121,IF(C121="","",Assumptions!$D$5-(C121+Assumptions!$B$8))))</f>
        <v/>
      </c>
      <c r="L121" s="5" t="str">
        <f aca="false">IF(K121="","",IF(K121&lt;0,"Phase 1 (unliquidated)",IF(K121&lt;=Assumptions!$B$7,"Phase 1 (recently liquidated)",IF(K121&lt;=Assumptions!$B$6,"Protest required","Deadline passed — litigation only"))))</f>
        <v/>
      </c>
      <c r="M121" s="20" t="str">
        <f aca="false">IF(K121="","",IF(H121&lt;&gt;"",H121+Assumptions!$B$6,C121+Assumptions!$B$8+Assumptions!$B$6))</f>
        <v/>
      </c>
      <c r="N121" s="20" t="str">
        <f aca="false">IF(K121="","",IF(K121&lt;0,IF(H121&lt;&gt;"",H121+Assumptions!$B$7,C121+Assumptions!$B$8+Assumptions!$B$7),M121))</f>
        <v/>
      </c>
      <c r="O121" s="21" t="str">
        <f aca="false">IF(N121="","",N121-Assumptions!$D$5)</f>
        <v/>
      </c>
      <c r="P121" s="22"/>
      <c r="Q121" s="22"/>
      <c r="R121" s="18" t="str">
        <f aca="false">IF(Q121="","",Q121*IF(LEFT(L121,7)="Phase 1",Assumptions!$B$11,Assumptions!$B$12))</f>
        <v/>
      </c>
    </row>
    <row r="122" customFormat="false" ht="15" hidden="false" customHeight="true" outlineLevel="0" collapsed="false">
      <c r="C122" s="24"/>
      <c r="F122" s="22"/>
      <c r="G122" s="23"/>
      <c r="H122" s="24"/>
      <c r="J122" s="18" t="str">
        <f aca="false">IF(F122="","",F122*G122)</f>
        <v/>
      </c>
      <c r="K122" s="5" t="str">
        <f aca="false">IF(A122="","",IF(H122&lt;&gt;"",Assumptions!$D$5-H122,IF(C122="","",Assumptions!$D$5-(C122+Assumptions!$B$8))))</f>
        <v/>
      </c>
      <c r="L122" s="5" t="str">
        <f aca="false">IF(K122="","",IF(K122&lt;0,"Phase 1 (unliquidated)",IF(K122&lt;=Assumptions!$B$7,"Phase 1 (recently liquidated)",IF(K122&lt;=Assumptions!$B$6,"Protest required","Deadline passed — litigation only"))))</f>
        <v/>
      </c>
      <c r="M122" s="20" t="str">
        <f aca="false">IF(K122="","",IF(H122&lt;&gt;"",H122+Assumptions!$B$6,C122+Assumptions!$B$8+Assumptions!$B$6))</f>
        <v/>
      </c>
      <c r="N122" s="20" t="str">
        <f aca="false">IF(K122="","",IF(K122&lt;0,IF(H122&lt;&gt;"",H122+Assumptions!$B$7,C122+Assumptions!$B$8+Assumptions!$B$7),M122))</f>
        <v/>
      </c>
      <c r="O122" s="21" t="str">
        <f aca="false">IF(N122="","",N122-Assumptions!$D$5)</f>
        <v/>
      </c>
      <c r="P122" s="22"/>
      <c r="Q122" s="22"/>
      <c r="R122" s="18" t="str">
        <f aca="false">IF(Q122="","",Q122*IF(LEFT(L122,7)="Phase 1",Assumptions!$B$11,Assumptions!$B$12))</f>
        <v/>
      </c>
    </row>
    <row r="123" customFormat="false" ht="15" hidden="false" customHeight="true" outlineLevel="0" collapsed="false">
      <c r="C123" s="24"/>
      <c r="F123" s="22"/>
      <c r="G123" s="23"/>
      <c r="H123" s="24"/>
      <c r="J123" s="18" t="str">
        <f aca="false">IF(F123="","",F123*G123)</f>
        <v/>
      </c>
      <c r="K123" s="5" t="str">
        <f aca="false">IF(A123="","",IF(H123&lt;&gt;"",Assumptions!$D$5-H123,IF(C123="","",Assumptions!$D$5-(C123+Assumptions!$B$8))))</f>
        <v/>
      </c>
      <c r="L123" s="5" t="str">
        <f aca="false">IF(K123="","",IF(K123&lt;0,"Phase 1 (unliquidated)",IF(K123&lt;=Assumptions!$B$7,"Phase 1 (recently liquidated)",IF(K123&lt;=Assumptions!$B$6,"Protest required","Deadline passed — litigation only"))))</f>
        <v/>
      </c>
      <c r="M123" s="20" t="str">
        <f aca="false">IF(K123="","",IF(H123&lt;&gt;"",H123+Assumptions!$B$6,C123+Assumptions!$B$8+Assumptions!$B$6))</f>
        <v/>
      </c>
      <c r="N123" s="20" t="str">
        <f aca="false">IF(K123="","",IF(K123&lt;0,IF(H123&lt;&gt;"",H123+Assumptions!$B$7,C123+Assumptions!$B$8+Assumptions!$B$7),M123))</f>
        <v/>
      </c>
      <c r="O123" s="21" t="str">
        <f aca="false">IF(N123="","",N123-Assumptions!$D$5)</f>
        <v/>
      </c>
      <c r="P123" s="22"/>
      <c r="Q123" s="22"/>
      <c r="R123" s="18" t="str">
        <f aca="false">IF(Q123="","",Q123*IF(LEFT(L123,7)="Phase 1",Assumptions!$B$11,Assumptions!$B$12))</f>
        <v/>
      </c>
    </row>
    <row r="124" customFormat="false" ht="15" hidden="false" customHeight="true" outlineLevel="0" collapsed="false">
      <c r="C124" s="24"/>
      <c r="F124" s="22"/>
      <c r="G124" s="23"/>
      <c r="H124" s="24"/>
      <c r="J124" s="18" t="str">
        <f aca="false">IF(F124="","",F124*G124)</f>
        <v/>
      </c>
      <c r="K124" s="5" t="str">
        <f aca="false">IF(A124="","",IF(H124&lt;&gt;"",Assumptions!$D$5-H124,IF(C124="","",Assumptions!$D$5-(C124+Assumptions!$B$8))))</f>
        <v/>
      </c>
      <c r="L124" s="5" t="str">
        <f aca="false">IF(K124="","",IF(K124&lt;0,"Phase 1 (unliquidated)",IF(K124&lt;=Assumptions!$B$7,"Phase 1 (recently liquidated)",IF(K124&lt;=Assumptions!$B$6,"Protest required","Deadline passed — litigation only"))))</f>
        <v/>
      </c>
      <c r="M124" s="20" t="str">
        <f aca="false">IF(K124="","",IF(H124&lt;&gt;"",H124+Assumptions!$B$6,C124+Assumptions!$B$8+Assumptions!$B$6))</f>
        <v/>
      </c>
      <c r="N124" s="20" t="str">
        <f aca="false">IF(K124="","",IF(K124&lt;0,IF(H124&lt;&gt;"",H124+Assumptions!$B$7,C124+Assumptions!$B$8+Assumptions!$B$7),M124))</f>
        <v/>
      </c>
      <c r="O124" s="21" t="str">
        <f aca="false">IF(N124="","",N124-Assumptions!$D$5)</f>
        <v/>
      </c>
      <c r="P124" s="22"/>
      <c r="Q124" s="22"/>
      <c r="R124" s="18" t="str">
        <f aca="false">IF(Q124="","",Q124*IF(LEFT(L124,7)="Phase 1",Assumptions!$B$11,Assumptions!$B$12))</f>
        <v/>
      </c>
    </row>
    <row r="125" customFormat="false" ht="15" hidden="false" customHeight="true" outlineLevel="0" collapsed="false">
      <c r="C125" s="24"/>
      <c r="F125" s="22"/>
      <c r="G125" s="23"/>
      <c r="H125" s="24"/>
      <c r="J125" s="18" t="str">
        <f aca="false">IF(F125="","",F125*G125)</f>
        <v/>
      </c>
      <c r="K125" s="5" t="str">
        <f aca="false">IF(A125="","",IF(H125&lt;&gt;"",Assumptions!$D$5-H125,IF(C125="","",Assumptions!$D$5-(C125+Assumptions!$B$8))))</f>
        <v/>
      </c>
      <c r="L125" s="5" t="str">
        <f aca="false">IF(K125="","",IF(K125&lt;0,"Phase 1 (unliquidated)",IF(K125&lt;=Assumptions!$B$7,"Phase 1 (recently liquidated)",IF(K125&lt;=Assumptions!$B$6,"Protest required","Deadline passed — litigation only"))))</f>
        <v/>
      </c>
      <c r="M125" s="20" t="str">
        <f aca="false">IF(K125="","",IF(H125&lt;&gt;"",H125+Assumptions!$B$6,C125+Assumptions!$B$8+Assumptions!$B$6))</f>
        <v/>
      </c>
      <c r="N125" s="20" t="str">
        <f aca="false">IF(K125="","",IF(K125&lt;0,IF(H125&lt;&gt;"",H125+Assumptions!$B$7,C125+Assumptions!$B$8+Assumptions!$B$7),M125))</f>
        <v/>
      </c>
      <c r="O125" s="21" t="str">
        <f aca="false">IF(N125="","",N125-Assumptions!$D$5)</f>
        <v/>
      </c>
      <c r="P125" s="22"/>
      <c r="Q125" s="22"/>
      <c r="R125" s="18" t="str">
        <f aca="false">IF(Q125="","",Q125*IF(LEFT(L125,7)="Phase 1",Assumptions!$B$11,Assumptions!$B$12))</f>
        <v/>
      </c>
    </row>
    <row r="126" customFormat="false" ht="15" hidden="false" customHeight="true" outlineLevel="0" collapsed="false">
      <c r="C126" s="24"/>
      <c r="F126" s="22"/>
      <c r="G126" s="23"/>
      <c r="H126" s="24"/>
      <c r="J126" s="18" t="str">
        <f aca="false">IF(F126="","",F126*G126)</f>
        <v/>
      </c>
      <c r="K126" s="5" t="str">
        <f aca="false">IF(A126="","",IF(H126&lt;&gt;"",Assumptions!$D$5-H126,IF(C126="","",Assumptions!$D$5-(C126+Assumptions!$B$8))))</f>
        <v/>
      </c>
      <c r="L126" s="5" t="str">
        <f aca="false">IF(K126="","",IF(K126&lt;0,"Phase 1 (unliquidated)",IF(K126&lt;=Assumptions!$B$7,"Phase 1 (recently liquidated)",IF(K126&lt;=Assumptions!$B$6,"Protest required","Deadline passed — litigation only"))))</f>
        <v/>
      </c>
      <c r="M126" s="20" t="str">
        <f aca="false">IF(K126="","",IF(H126&lt;&gt;"",H126+Assumptions!$B$6,C126+Assumptions!$B$8+Assumptions!$B$6))</f>
        <v/>
      </c>
      <c r="N126" s="20" t="str">
        <f aca="false">IF(K126="","",IF(K126&lt;0,IF(H126&lt;&gt;"",H126+Assumptions!$B$7,C126+Assumptions!$B$8+Assumptions!$B$7),M126))</f>
        <v/>
      </c>
      <c r="O126" s="21" t="str">
        <f aca="false">IF(N126="","",N126-Assumptions!$D$5)</f>
        <v/>
      </c>
      <c r="P126" s="22"/>
      <c r="Q126" s="22"/>
      <c r="R126" s="18" t="str">
        <f aca="false">IF(Q126="","",Q126*IF(LEFT(L126,7)="Phase 1",Assumptions!$B$11,Assumptions!$B$12))</f>
        <v/>
      </c>
    </row>
    <row r="127" customFormat="false" ht="15" hidden="false" customHeight="true" outlineLevel="0" collapsed="false">
      <c r="C127" s="24"/>
      <c r="F127" s="22"/>
      <c r="G127" s="23"/>
      <c r="H127" s="24"/>
      <c r="J127" s="18" t="str">
        <f aca="false">IF(F127="","",F127*G127)</f>
        <v/>
      </c>
      <c r="K127" s="5" t="str">
        <f aca="false">IF(A127="","",IF(H127&lt;&gt;"",Assumptions!$D$5-H127,IF(C127="","",Assumptions!$D$5-(C127+Assumptions!$B$8))))</f>
        <v/>
      </c>
      <c r="L127" s="5" t="str">
        <f aca="false">IF(K127="","",IF(K127&lt;0,"Phase 1 (unliquidated)",IF(K127&lt;=Assumptions!$B$7,"Phase 1 (recently liquidated)",IF(K127&lt;=Assumptions!$B$6,"Protest required","Deadline passed — litigation only"))))</f>
        <v/>
      </c>
      <c r="M127" s="20" t="str">
        <f aca="false">IF(K127="","",IF(H127&lt;&gt;"",H127+Assumptions!$B$6,C127+Assumptions!$B$8+Assumptions!$B$6))</f>
        <v/>
      </c>
      <c r="N127" s="20" t="str">
        <f aca="false">IF(K127="","",IF(K127&lt;0,IF(H127&lt;&gt;"",H127+Assumptions!$B$7,C127+Assumptions!$B$8+Assumptions!$B$7),M127))</f>
        <v/>
      </c>
      <c r="O127" s="21" t="str">
        <f aca="false">IF(N127="","",N127-Assumptions!$D$5)</f>
        <v/>
      </c>
      <c r="P127" s="22"/>
      <c r="Q127" s="22"/>
      <c r="R127" s="18" t="str">
        <f aca="false">IF(Q127="","",Q127*IF(LEFT(L127,7)="Phase 1",Assumptions!$B$11,Assumptions!$B$12))</f>
        <v/>
      </c>
    </row>
    <row r="128" customFormat="false" ht="15" hidden="false" customHeight="true" outlineLevel="0" collapsed="false">
      <c r="C128" s="24"/>
      <c r="F128" s="22"/>
      <c r="G128" s="23"/>
      <c r="H128" s="24"/>
      <c r="J128" s="18" t="str">
        <f aca="false">IF(F128="","",F128*G128)</f>
        <v/>
      </c>
      <c r="K128" s="5" t="str">
        <f aca="false">IF(A128="","",IF(H128&lt;&gt;"",Assumptions!$D$5-H128,IF(C128="","",Assumptions!$D$5-(C128+Assumptions!$B$8))))</f>
        <v/>
      </c>
      <c r="L128" s="5" t="str">
        <f aca="false">IF(K128="","",IF(K128&lt;0,"Phase 1 (unliquidated)",IF(K128&lt;=Assumptions!$B$7,"Phase 1 (recently liquidated)",IF(K128&lt;=Assumptions!$B$6,"Protest required","Deadline passed — litigation only"))))</f>
        <v/>
      </c>
      <c r="M128" s="20" t="str">
        <f aca="false">IF(K128="","",IF(H128&lt;&gt;"",H128+Assumptions!$B$6,C128+Assumptions!$B$8+Assumptions!$B$6))</f>
        <v/>
      </c>
      <c r="N128" s="20" t="str">
        <f aca="false">IF(K128="","",IF(K128&lt;0,IF(H128&lt;&gt;"",H128+Assumptions!$B$7,C128+Assumptions!$B$8+Assumptions!$B$7),M128))</f>
        <v/>
      </c>
      <c r="O128" s="21" t="str">
        <f aca="false">IF(N128="","",N128-Assumptions!$D$5)</f>
        <v/>
      </c>
      <c r="P128" s="22"/>
      <c r="Q128" s="22"/>
      <c r="R128" s="18" t="str">
        <f aca="false">IF(Q128="","",Q128*IF(LEFT(L128,7)="Phase 1",Assumptions!$B$11,Assumptions!$B$12))</f>
        <v/>
      </c>
    </row>
    <row r="129" customFormat="false" ht="15" hidden="false" customHeight="true" outlineLevel="0" collapsed="false">
      <c r="C129" s="24"/>
      <c r="F129" s="22"/>
      <c r="G129" s="23"/>
      <c r="H129" s="24"/>
      <c r="J129" s="18" t="str">
        <f aca="false">IF(F129="","",F129*G129)</f>
        <v/>
      </c>
      <c r="K129" s="5" t="str">
        <f aca="false">IF(A129="","",IF(H129&lt;&gt;"",Assumptions!$D$5-H129,IF(C129="","",Assumptions!$D$5-(C129+Assumptions!$B$8))))</f>
        <v/>
      </c>
      <c r="L129" s="5" t="str">
        <f aca="false">IF(K129="","",IF(K129&lt;0,"Phase 1 (unliquidated)",IF(K129&lt;=Assumptions!$B$7,"Phase 1 (recently liquidated)",IF(K129&lt;=Assumptions!$B$6,"Protest required","Deadline passed — litigation only"))))</f>
        <v/>
      </c>
      <c r="M129" s="20" t="str">
        <f aca="false">IF(K129="","",IF(H129&lt;&gt;"",H129+Assumptions!$B$6,C129+Assumptions!$B$8+Assumptions!$B$6))</f>
        <v/>
      </c>
      <c r="N129" s="20" t="str">
        <f aca="false">IF(K129="","",IF(K129&lt;0,IF(H129&lt;&gt;"",H129+Assumptions!$B$7,C129+Assumptions!$B$8+Assumptions!$B$7),M129))</f>
        <v/>
      </c>
      <c r="O129" s="21" t="str">
        <f aca="false">IF(N129="","",N129-Assumptions!$D$5)</f>
        <v/>
      </c>
      <c r="P129" s="22"/>
      <c r="Q129" s="22"/>
      <c r="R129" s="18" t="str">
        <f aca="false">IF(Q129="","",Q129*IF(LEFT(L129,7)="Phase 1",Assumptions!$B$11,Assumptions!$B$12))</f>
        <v/>
      </c>
    </row>
    <row r="130" customFormat="false" ht="15" hidden="false" customHeight="true" outlineLevel="0" collapsed="false">
      <c r="C130" s="24"/>
      <c r="F130" s="22"/>
      <c r="G130" s="23"/>
      <c r="H130" s="24"/>
      <c r="J130" s="18" t="str">
        <f aca="false">IF(F130="","",F130*G130)</f>
        <v/>
      </c>
      <c r="K130" s="5" t="str">
        <f aca="false">IF(A130="","",IF(H130&lt;&gt;"",Assumptions!$D$5-H130,IF(C130="","",Assumptions!$D$5-(C130+Assumptions!$B$8))))</f>
        <v/>
      </c>
      <c r="L130" s="5" t="str">
        <f aca="false">IF(K130="","",IF(K130&lt;0,"Phase 1 (unliquidated)",IF(K130&lt;=Assumptions!$B$7,"Phase 1 (recently liquidated)",IF(K130&lt;=Assumptions!$B$6,"Protest required","Deadline passed — litigation only"))))</f>
        <v/>
      </c>
      <c r="M130" s="20" t="str">
        <f aca="false">IF(K130="","",IF(H130&lt;&gt;"",H130+Assumptions!$B$6,C130+Assumptions!$B$8+Assumptions!$B$6))</f>
        <v/>
      </c>
      <c r="N130" s="20" t="str">
        <f aca="false">IF(K130="","",IF(K130&lt;0,IF(H130&lt;&gt;"",H130+Assumptions!$B$7,C130+Assumptions!$B$8+Assumptions!$B$7),M130))</f>
        <v/>
      </c>
      <c r="O130" s="21" t="str">
        <f aca="false">IF(N130="","",N130-Assumptions!$D$5)</f>
        <v/>
      </c>
      <c r="P130" s="22"/>
      <c r="Q130" s="22"/>
      <c r="R130" s="18" t="str">
        <f aca="false">IF(Q130="","",Q130*IF(LEFT(L130,7)="Phase 1",Assumptions!$B$11,Assumptions!$B$12))</f>
        <v/>
      </c>
    </row>
    <row r="131" customFormat="false" ht="15" hidden="false" customHeight="true" outlineLevel="0" collapsed="false">
      <c r="C131" s="24"/>
      <c r="F131" s="22"/>
      <c r="G131" s="23"/>
      <c r="H131" s="24"/>
      <c r="J131" s="18" t="str">
        <f aca="false">IF(F131="","",F131*G131)</f>
        <v/>
      </c>
      <c r="K131" s="5" t="str">
        <f aca="false">IF(A131="","",IF(H131&lt;&gt;"",Assumptions!$D$5-H131,IF(C131="","",Assumptions!$D$5-(C131+Assumptions!$B$8))))</f>
        <v/>
      </c>
      <c r="L131" s="5" t="str">
        <f aca="false">IF(K131="","",IF(K131&lt;0,"Phase 1 (unliquidated)",IF(K131&lt;=Assumptions!$B$7,"Phase 1 (recently liquidated)",IF(K131&lt;=Assumptions!$B$6,"Protest required","Deadline passed — litigation only"))))</f>
        <v/>
      </c>
      <c r="M131" s="20" t="str">
        <f aca="false">IF(K131="","",IF(H131&lt;&gt;"",H131+Assumptions!$B$6,C131+Assumptions!$B$8+Assumptions!$B$6))</f>
        <v/>
      </c>
      <c r="N131" s="20" t="str">
        <f aca="false">IF(K131="","",IF(K131&lt;0,IF(H131&lt;&gt;"",H131+Assumptions!$B$7,C131+Assumptions!$B$8+Assumptions!$B$7),M131))</f>
        <v/>
      </c>
      <c r="O131" s="21" t="str">
        <f aca="false">IF(N131="","",N131-Assumptions!$D$5)</f>
        <v/>
      </c>
      <c r="P131" s="22"/>
      <c r="Q131" s="22"/>
      <c r="R131" s="18" t="str">
        <f aca="false">IF(Q131="","",Q131*IF(LEFT(L131,7)="Phase 1",Assumptions!$B$11,Assumptions!$B$12))</f>
        <v/>
      </c>
    </row>
    <row r="132" customFormat="false" ht="15" hidden="false" customHeight="true" outlineLevel="0" collapsed="false">
      <c r="C132" s="24"/>
      <c r="F132" s="22"/>
      <c r="G132" s="23"/>
      <c r="H132" s="24"/>
      <c r="J132" s="18" t="str">
        <f aca="false">IF(F132="","",F132*G132)</f>
        <v/>
      </c>
      <c r="K132" s="5" t="str">
        <f aca="false">IF(A132="","",IF(H132&lt;&gt;"",Assumptions!$D$5-H132,IF(C132="","",Assumptions!$D$5-(C132+Assumptions!$B$8))))</f>
        <v/>
      </c>
      <c r="L132" s="5" t="str">
        <f aca="false">IF(K132="","",IF(K132&lt;0,"Phase 1 (unliquidated)",IF(K132&lt;=Assumptions!$B$7,"Phase 1 (recently liquidated)",IF(K132&lt;=Assumptions!$B$6,"Protest required","Deadline passed — litigation only"))))</f>
        <v/>
      </c>
      <c r="M132" s="20" t="str">
        <f aca="false">IF(K132="","",IF(H132&lt;&gt;"",H132+Assumptions!$B$6,C132+Assumptions!$B$8+Assumptions!$B$6))</f>
        <v/>
      </c>
      <c r="N132" s="20" t="str">
        <f aca="false">IF(K132="","",IF(K132&lt;0,IF(H132&lt;&gt;"",H132+Assumptions!$B$7,C132+Assumptions!$B$8+Assumptions!$B$7),M132))</f>
        <v/>
      </c>
      <c r="O132" s="21" t="str">
        <f aca="false">IF(N132="","",N132-Assumptions!$D$5)</f>
        <v/>
      </c>
      <c r="P132" s="22"/>
      <c r="Q132" s="22"/>
      <c r="R132" s="18" t="str">
        <f aca="false">IF(Q132="","",Q132*IF(LEFT(L132,7)="Phase 1",Assumptions!$B$11,Assumptions!$B$12))</f>
        <v/>
      </c>
    </row>
    <row r="133" customFormat="false" ht="15" hidden="false" customHeight="true" outlineLevel="0" collapsed="false">
      <c r="C133" s="24"/>
      <c r="F133" s="22"/>
      <c r="G133" s="23"/>
      <c r="H133" s="24"/>
      <c r="J133" s="18" t="str">
        <f aca="false">IF(F133="","",F133*G133)</f>
        <v/>
      </c>
      <c r="K133" s="5" t="str">
        <f aca="false">IF(A133="","",IF(H133&lt;&gt;"",Assumptions!$D$5-H133,IF(C133="","",Assumptions!$D$5-(C133+Assumptions!$B$8))))</f>
        <v/>
      </c>
      <c r="L133" s="5" t="str">
        <f aca="false">IF(K133="","",IF(K133&lt;0,"Phase 1 (unliquidated)",IF(K133&lt;=Assumptions!$B$7,"Phase 1 (recently liquidated)",IF(K133&lt;=Assumptions!$B$6,"Protest required","Deadline passed — litigation only"))))</f>
        <v/>
      </c>
      <c r="M133" s="20" t="str">
        <f aca="false">IF(K133="","",IF(H133&lt;&gt;"",H133+Assumptions!$B$6,C133+Assumptions!$B$8+Assumptions!$B$6))</f>
        <v/>
      </c>
      <c r="N133" s="20" t="str">
        <f aca="false">IF(K133="","",IF(K133&lt;0,IF(H133&lt;&gt;"",H133+Assumptions!$B$7,C133+Assumptions!$B$8+Assumptions!$B$7),M133))</f>
        <v/>
      </c>
      <c r="O133" s="21" t="str">
        <f aca="false">IF(N133="","",N133-Assumptions!$D$5)</f>
        <v/>
      </c>
      <c r="P133" s="22"/>
      <c r="Q133" s="22"/>
      <c r="R133" s="18" t="str">
        <f aca="false">IF(Q133="","",Q133*IF(LEFT(L133,7)="Phase 1",Assumptions!$B$11,Assumptions!$B$12))</f>
        <v/>
      </c>
    </row>
    <row r="134" customFormat="false" ht="15" hidden="false" customHeight="true" outlineLevel="0" collapsed="false">
      <c r="C134" s="24"/>
      <c r="F134" s="22"/>
      <c r="G134" s="23"/>
      <c r="H134" s="24"/>
      <c r="J134" s="18" t="str">
        <f aca="false">IF(F134="","",F134*G134)</f>
        <v/>
      </c>
      <c r="K134" s="5" t="str">
        <f aca="false">IF(A134="","",IF(H134&lt;&gt;"",Assumptions!$D$5-H134,IF(C134="","",Assumptions!$D$5-(C134+Assumptions!$B$8))))</f>
        <v/>
      </c>
      <c r="L134" s="5" t="str">
        <f aca="false">IF(K134="","",IF(K134&lt;0,"Phase 1 (unliquidated)",IF(K134&lt;=Assumptions!$B$7,"Phase 1 (recently liquidated)",IF(K134&lt;=Assumptions!$B$6,"Protest required","Deadline passed — litigation only"))))</f>
        <v/>
      </c>
      <c r="M134" s="20" t="str">
        <f aca="false">IF(K134="","",IF(H134&lt;&gt;"",H134+Assumptions!$B$6,C134+Assumptions!$B$8+Assumptions!$B$6))</f>
        <v/>
      </c>
      <c r="N134" s="20" t="str">
        <f aca="false">IF(K134="","",IF(K134&lt;0,IF(H134&lt;&gt;"",H134+Assumptions!$B$7,C134+Assumptions!$B$8+Assumptions!$B$7),M134))</f>
        <v/>
      </c>
      <c r="O134" s="21" t="str">
        <f aca="false">IF(N134="","",N134-Assumptions!$D$5)</f>
        <v/>
      </c>
      <c r="P134" s="22"/>
      <c r="Q134" s="22"/>
      <c r="R134" s="18" t="str">
        <f aca="false">IF(Q134="","",Q134*IF(LEFT(L134,7)="Phase 1",Assumptions!$B$11,Assumptions!$B$12))</f>
        <v/>
      </c>
    </row>
    <row r="135" customFormat="false" ht="15" hidden="false" customHeight="true" outlineLevel="0" collapsed="false">
      <c r="C135" s="24"/>
      <c r="F135" s="22"/>
      <c r="G135" s="23"/>
      <c r="H135" s="24"/>
      <c r="J135" s="18" t="str">
        <f aca="false">IF(F135="","",F135*G135)</f>
        <v/>
      </c>
      <c r="K135" s="5" t="str">
        <f aca="false">IF(A135="","",IF(H135&lt;&gt;"",Assumptions!$D$5-H135,IF(C135="","",Assumptions!$D$5-(C135+Assumptions!$B$8))))</f>
        <v/>
      </c>
      <c r="L135" s="5" t="str">
        <f aca="false">IF(K135="","",IF(K135&lt;0,"Phase 1 (unliquidated)",IF(K135&lt;=Assumptions!$B$7,"Phase 1 (recently liquidated)",IF(K135&lt;=Assumptions!$B$6,"Protest required","Deadline passed — litigation only"))))</f>
        <v/>
      </c>
      <c r="M135" s="20" t="str">
        <f aca="false">IF(K135="","",IF(H135&lt;&gt;"",H135+Assumptions!$B$6,C135+Assumptions!$B$8+Assumptions!$B$6))</f>
        <v/>
      </c>
      <c r="N135" s="20" t="str">
        <f aca="false">IF(K135="","",IF(K135&lt;0,IF(H135&lt;&gt;"",H135+Assumptions!$B$7,C135+Assumptions!$B$8+Assumptions!$B$7),M135))</f>
        <v/>
      </c>
      <c r="O135" s="21" t="str">
        <f aca="false">IF(N135="","",N135-Assumptions!$D$5)</f>
        <v/>
      </c>
      <c r="P135" s="22"/>
      <c r="Q135" s="22"/>
      <c r="R135" s="18" t="str">
        <f aca="false">IF(Q135="","",Q135*IF(LEFT(L135,7)="Phase 1",Assumptions!$B$11,Assumptions!$B$12))</f>
        <v/>
      </c>
    </row>
    <row r="136" customFormat="false" ht="15" hidden="false" customHeight="true" outlineLevel="0" collapsed="false">
      <c r="C136" s="24"/>
      <c r="F136" s="22"/>
      <c r="G136" s="23"/>
      <c r="H136" s="24"/>
      <c r="J136" s="18" t="str">
        <f aca="false">IF(F136="","",F136*G136)</f>
        <v/>
      </c>
      <c r="K136" s="5" t="str">
        <f aca="false">IF(A136="","",IF(H136&lt;&gt;"",Assumptions!$D$5-H136,IF(C136="","",Assumptions!$D$5-(C136+Assumptions!$B$8))))</f>
        <v/>
      </c>
      <c r="L136" s="5" t="str">
        <f aca="false">IF(K136="","",IF(K136&lt;0,"Phase 1 (unliquidated)",IF(K136&lt;=Assumptions!$B$7,"Phase 1 (recently liquidated)",IF(K136&lt;=Assumptions!$B$6,"Protest required","Deadline passed — litigation only"))))</f>
        <v/>
      </c>
      <c r="M136" s="20" t="str">
        <f aca="false">IF(K136="","",IF(H136&lt;&gt;"",H136+Assumptions!$B$6,C136+Assumptions!$B$8+Assumptions!$B$6))</f>
        <v/>
      </c>
      <c r="N136" s="20" t="str">
        <f aca="false">IF(K136="","",IF(K136&lt;0,IF(H136&lt;&gt;"",H136+Assumptions!$B$7,C136+Assumptions!$B$8+Assumptions!$B$7),M136))</f>
        <v/>
      </c>
      <c r="O136" s="21" t="str">
        <f aca="false">IF(N136="","",N136-Assumptions!$D$5)</f>
        <v/>
      </c>
      <c r="P136" s="22"/>
      <c r="Q136" s="22"/>
      <c r="R136" s="18" t="str">
        <f aca="false">IF(Q136="","",Q136*IF(LEFT(L136,7)="Phase 1",Assumptions!$B$11,Assumptions!$B$12))</f>
        <v/>
      </c>
    </row>
    <row r="137" customFormat="false" ht="15" hidden="false" customHeight="true" outlineLevel="0" collapsed="false">
      <c r="C137" s="24"/>
      <c r="F137" s="22"/>
      <c r="G137" s="23"/>
      <c r="H137" s="24"/>
      <c r="J137" s="18" t="str">
        <f aca="false">IF(F137="","",F137*G137)</f>
        <v/>
      </c>
      <c r="K137" s="5" t="str">
        <f aca="false">IF(A137="","",IF(H137&lt;&gt;"",Assumptions!$D$5-H137,IF(C137="","",Assumptions!$D$5-(C137+Assumptions!$B$8))))</f>
        <v/>
      </c>
      <c r="L137" s="5" t="str">
        <f aca="false">IF(K137="","",IF(K137&lt;0,"Phase 1 (unliquidated)",IF(K137&lt;=Assumptions!$B$7,"Phase 1 (recently liquidated)",IF(K137&lt;=Assumptions!$B$6,"Protest required","Deadline passed — litigation only"))))</f>
        <v/>
      </c>
      <c r="M137" s="20" t="str">
        <f aca="false">IF(K137="","",IF(H137&lt;&gt;"",H137+Assumptions!$B$6,C137+Assumptions!$B$8+Assumptions!$B$6))</f>
        <v/>
      </c>
      <c r="N137" s="20" t="str">
        <f aca="false">IF(K137="","",IF(K137&lt;0,IF(H137&lt;&gt;"",H137+Assumptions!$B$7,C137+Assumptions!$B$8+Assumptions!$B$7),M137))</f>
        <v/>
      </c>
      <c r="O137" s="21" t="str">
        <f aca="false">IF(N137="","",N137-Assumptions!$D$5)</f>
        <v/>
      </c>
      <c r="P137" s="22"/>
      <c r="Q137" s="22"/>
      <c r="R137" s="18" t="str">
        <f aca="false">IF(Q137="","",Q137*IF(LEFT(L137,7)="Phase 1",Assumptions!$B$11,Assumptions!$B$12))</f>
        <v/>
      </c>
    </row>
    <row r="138" customFormat="false" ht="15" hidden="false" customHeight="true" outlineLevel="0" collapsed="false">
      <c r="C138" s="24"/>
      <c r="F138" s="22"/>
      <c r="G138" s="23"/>
      <c r="H138" s="24"/>
      <c r="J138" s="18" t="str">
        <f aca="false">IF(F138="","",F138*G138)</f>
        <v/>
      </c>
      <c r="K138" s="5" t="str">
        <f aca="false">IF(A138="","",IF(H138&lt;&gt;"",Assumptions!$D$5-H138,IF(C138="","",Assumptions!$D$5-(C138+Assumptions!$B$8))))</f>
        <v/>
      </c>
      <c r="L138" s="5" t="str">
        <f aca="false">IF(K138="","",IF(K138&lt;0,"Phase 1 (unliquidated)",IF(K138&lt;=Assumptions!$B$7,"Phase 1 (recently liquidated)",IF(K138&lt;=Assumptions!$B$6,"Protest required","Deadline passed — litigation only"))))</f>
        <v/>
      </c>
      <c r="M138" s="20" t="str">
        <f aca="false">IF(K138="","",IF(H138&lt;&gt;"",H138+Assumptions!$B$6,C138+Assumptions!$B$8+Assumptions!$B$6))</f>
        <v/>
      </c>
      <c r="N138" s="20" t="str">
        <f aca="false">IF(K138="","",IF(K138&lt;0,IF(H138&lt;&gt;"",H138+Assumptions!$B$7,C138+Assumptions!$B$8+Assumptions!$B$7),M138))</f>
        <v/>
      </c>
      <c r="O138" s="21" t="str">
        <f aca="false">IF(N138="","",N138-Assumptions!$D$5)</f>
        <v/>
      </c>
      <c r="P138" s="22"/>
      <c r="Q138" s="22"/>
      <c r="R138" s="18" t="str">
        <f aca="false">IF(Q138="","",Q138*IF(LEFT(L138,7)="Phase 1",Assumptions!$B$11,Assumptions!$B$12))</f>
        <v/>
      </c>
    </row>
    <row r="139" customFormat="false" ht="15" hidden="false" customHeight="true" outlineLevel="0" collapsed="false">
      <c r="C139" s="24"/>
      <c r="F139" s="22"/>
      <c r="G139" s="23"/>
      <c r="H139" s="24"/>
      <c r="J139" s="18" t="str">
        <f aca="false">IF(F139="","",F139*G139)</f>
        <v/>
      </c>
      <c r="K139" s="5" t="str">
        <f aca="false">IF(A139="","",IF(H139&lt;&gt;"",Assumptions!$D$5-H139,IF(C139="","",Assumptions!$D$5-(C139+Assumptions!$B$8))))</f>
        <v/>
      </c>
      <c r="L139" s="5" t="str">
        <f aca="false">IF(K139="","",IF(K139&lt;0,"Phase 1 (unliquidated)",IF(K139&lt;=Assumptions!$B$7,"Phase 1 (recently liquidated)",IF(K139&lt;=Assumptions!$B$6,"Protest required","Deadline passed — litigation only"))))</f>
        <v/>
      </c>
      <c r="M139" s="20" t="str">
        <f aca="false">IF(K139="","",IF(H139&lt;&gt;"",H139+Assumptions!$B$6,C139+Assumptions!$B$8+Assumptions!$B$6))</f>
        <v/>
      </c>
      <c r="N139" s="20" t="str">
        <f aca="false">IF(K139="","",IF(K139&lt;0,IF(H139&lt;&gt;"",H139+Assumptions!$B$7,C139+Assumptions!$B$8+Assumptions!$B$7),M139))</f>
        <v/>
      </c>
      <c r="O139" s="21" t="str">
        <f aca="false">IF(N139="","",N139-Assumptions!$D$5)</f>
        <v/>
      </c>
      <c r="P139" s="22"/>
      <c r="Q139" s="22"/>
      <c r="R139" s="18" t="str">
        <f aca="false">IF(Q139="","",Q139*IF(LEFT(L139,7)="Phase 1",Assumptions!$B$11,Assumptions!$B$12))</f>
        <v/>
      </c>
    </row>
    <row r="140" customFormat="false" ht="15" hidden="false" customHeight="true" outlineLevel="0" collapsed="false">
      <c r="C140" s="24"/>
      <c r="F140" s="22"/>
      <c r="G140" s="23"/>
      <c r="H140" s="24"/>
      <c r="J140" s="18" t="str">
        <f aca="false">IF(F140="","",F140*G140)</f>
        <v/>
      </c>
      <c r="K140" s="5" t="str">
        <f aca="false">IF(A140="","",IF(H140&lt;&gt;"",Assumptions!$D$5-H140,IF(C140="","",Assumptions!$D$5-(C140+Assumptions!$B$8))))</f>
        <v/>
      </c>
      <c r="L140" s="5" t="str">
        <f aca="false">IF(K140="","",IF(K140&lt;0,"Phase 1 (unliquidated)",IF(K140&lt;=Assumptions!$B$7,"Phase 1 (recently liquidated)",IF(K140&lt;=Assumptions!$B$6,"Protest required","Deadline passed — litigation only"))))</f>
        <v/>
      </c>
      <c r="M140" s="20" t="str">
        <f aca="false">IF(K140="","",IF(H140&lt;&gt;"",H140+Assumptions!$B$6,C140+Assumptions!$B$8+Assumptions!$B$6))</f>
        <v/>
      </c>
      <c r="N140" s="20" t="str">
        <f aca="false">IF(K140="","",IF(K140&lt;0,IF(H140&lt;&gt;"",H140+Assumptions!$B$7,C140+Assumptions!$B$8+Assumptions!$B$7),M140))</f>
        <v/>
      </c>
      <c r="O140" s="21" t="str">
        <f aca="false">IF(N140="","",N140-Assumptions!$D$5)</f>
        <v/>
      </c>
      <c r="P140" s="22"/>
      <c r="Q140" s="22"/>
      <c r="R140" s="18" t="str">
        <f aca="false">IF(Q140="","",Q140*IF(LEFT(L140,7)="Phase 1",Assumptions!$B$11,Assumptions!$B$12))</f>
        <v/>
      </c>
    </row>
    <row r="141" customFormat="false" ht="15" hidden="false" customHeight="true" outlineLevel="0" collapsed="false">
      <c r="C141" s="24"/>
      <c r="F141" s="22"/>
      <c r="G141" s="23"/>
      <c r="H141" s="24"/>
      <c r="J141" s="18" t="str">
        <f aca="false">IF(F141="","",F141*G141)</f>
        <v/>
      </c>
      <c r="K141" s="5" t="str">
        <f aca="false">IF(A141="","",IF(H141&lt;&gt;"",Assumptions!$D$5-H141,IF(C141="","",Assumptions!$D$5-(C141+Assumptions!$B$8))))</f>
        <v/>
      </c>
      <c r="L141" s="5" t="str">
        <f aca="false">IF(K141="","",IF(K141&lt;0,"Phase 1 (unliquidated)",IF(K141&lt;=Assumptions!$B$7,"Phase 1 (recently liquidated)",IF(K141&lt;=Assumptions!$B$6,"Protest required","Deadline passed — litigation only"))))</f>
        <v/>
      </c>
      <c r="M141" s="20" t="str">
        <f aca="false">IF(K141="","",IF(H141&lt;&gt;"",H141+Assumptions!$B$6,C141+Assumptions!$B$8+Assumptions!$B$6))</f>
        <v/>
      </c>
      <c r="N141" s="20" t="str">
        <f aca="false">IF(K141="","",IF(K141&lt;0,IF(H141&lt;&gt;"",H141+Assumptions!$B$7,C141+Assumptions!$B$8+Assumptions!$B$7),M141))</f>
        <v/>
      </c>
      <c r="O141" s="21" t="str">
        <f aca="false">IF(N141="","",N141-Assumptions!$D$5)</f>
        <v/>
      </c>
      <c r="P141" s="22"/>
      <c r="Q141" s="22"/>
      <c r="R141" s="18" t="str">
        <f aca="false">IF(Q141="","",Q141*IF(LEFT(L141,7)="Phase 1",Assumptions!$B$11,Assumptions!$B$12))</f>
        <v/>
      </c>
    </row>
    <row r="142" customFormat="false" ht="15" hidden="false" customHeight="true" outlineLevel="0" collapsed="false">
      <c r="C142" s="24"/>
      <c r="F142" s="22"/>
      <c r="G142" s="23"/>
      <c r="H142" s="24"/>
      <c r="J142" s="18" t="str">
        <f aca="false">IF(F142="","",F142*G142)</f>
        <v/>
      </c>
      <c r="K142" s="5" t="str">
        <f aca="false">IF(A142="","",IF(H142&lt;&gt;"",Assumptions!$D$5-H142,IF(C142="","",Assumptions!$D$5-(C142+Assumptions!$B$8))))</f>
        <v/>
      </c>
      <c r="L142" s="5" t="str">
        <f aca="false">IF(K142="","",IF(K142&lt;0,"Phase 1 (unliquidated)",IF(K142&lt;=Assumptions!$B$7,"Phase 1 (recently liquidated)",IF(K142&lt;=Assumptions!$B$6,"Protest required","Deadline passed — litigation only"))))</f>
        <v/>
      </c>
      <c r="M142" s="20" t="str">
        <f aca="false">IF(K142="","",IF(H142&lt;&gt;"",H142+Assumptions!$B$6,C142+Assumptions!$B$8+Assumptions!$B$6))</f>
        <v/>
      </c>
      <c r="N142" s="20" t="str">
        <f aca="false">IF(K142="","",IF(K142&lt;0,IF(H142&lt;&gt;"",H142+Assumptions!$B$7,C142+Assumptions!$B$8+Assumptions!$B$7),M142))</f>
        <v/>
      </c>
      <c r="O142" s="21" t="str">
        <f aca="false">IF(N142="","",N142-Assumptions!$D$5)</f>
        <v/>
      </c>
      <c r="P142" s="22"/>
      <c r="Q142" s="22"/>
      <c r="R142" s="18" t="str">
        <f aca="false">IF(Q142="","",Q142*IF(LEFT(L142,7)="Phase 1",Assumptions!$B$11,Assumptions!$B$12))</f>
        <v/>
      </c>
    </row>
    <row r="143" customFormat="false" ht="15" hidden="false" customHeight="true" outlineLevel="0" collapsed="false">
      <c r="C143" s="24"/>
      <c r="F143" s="22"/>
      <c r="G143" s="23"/>
      <c r="H143" s="24"/>
      <c r="J143" s="18" t="str">
        <f aca="false">IF(F143="","",F143*G143)</f>
        <v/>
      </c>
      <c r="K143" s="5" t="str">
        <f aca="false">IF(A143="","",IF(H143&lt;&gt;"",Assumptions!$D$5-H143,IF(C143="","",Assumptions!$D$5-(C143+Assumptions!$B$8))))</f>
        <v/>
      </c>
      <c r="L143" s="5" t="str">
        <f aca="false">IF(K143="","",IF(K143&lt;0,"Phase 1 (unliquidated)",IF(K143&lt;=Assumptions!$B$7,"Phase 1 (recently liquidated)",IF(K143&lt;=Assumptions!$B$6,"Protest required","Deadline passed — litigation only"))))</f>
        <v/>
      </c>
      <c r="M143" s="20" t="str">
        <f aca="false">IF(K143="","",IF(H143&lt;&gt;"",H143+Assumptions!$B$6,C143+Assumptions!$B$8+Assumptions!$B$6))</f>
        <v/>
      </c>
      <c r="N143" s="20" t="str">
        <f aca="false">IF(K143="","",IF(K143&lt;0,IF(H143&lt;&gt;"",H143+Assumptions!$B$7,C143+Assumptions!$B$8+Assumptions!$B$7),M143))</f>
        <v/>
      </c>
      <c r="O143" s="21" t="str">
        <f aca="false">IF(N143="","",N143-Assumptions!$D$5)</f>
        <v/>
      </c>
      <c r="P143" s="22"/>
      <c r="Q143" s="22"/>
      <c r="R143" s="18" t="str">
        <f aca="false">IF(Q143="","",Q143*IF(LEFT(L143,7)="Phase 1",Assumptions!$B$11,Assumptions!$B$12))</f>
        <v/>
      </c>
    </row>
    <row r="144" customFormat="false" ht="15" hidden="false" customHeight="true" outlineLevel="0" collapsed="false">
      <c r="C144" s="24"/>
      <c r="F144" s="22"/>
      <c r="G144" s="23"/>
      <c r="H144" s="24"/>
      <c r="J144" s="18" t="str">
        <f aca="false">IF(F144="","",F144*G144)</f>
        <v/>
      </c>
      <c r="K144" s="5" t="str">
        <f aca="false">IF(A144="","",IF(H144&lt;&gt;"",Assumptions!$D$5-H144,IF(C144="","",Assumptions!$D$5-(C144+Assumptions!$B$8))))</f>
        <v/>
      </c>
      <c r="L144" s="5" t="str">
        <f aca="false">IF(K144="","",IF(K144&lt;0,"Phase 1 (unliquidated)",IF(K144&lt;=Assumptions!$B$7,"Phase 1 (recently liquidated)",IF(K144&lt;=Assumptions!$B$6,"Protest required","Deadline passed — litigation only"))))</f>
        <v/>
      </c>
      <c r="M144" s="20" t="str">
        <f aca="false">IF(K144="","",IF(H144&lt;&gt;"",H144+Assumptions!$B$6,C144+Assumptions!$B$8+Assumptions!$B$6))</f>
        <v/>
      </c>
      <c r="N144" s="20" t="str">
        <f aca="false">IF(K144="","",IF(K144&lt;0,IF(H144&lt;&gt;"",H144+Assumptions!$B$7,C144+Assumptions!$B$8+Assumptions!$B$7),M144))</f>
        <v/>
      </c>
      <c r="O144" s="21" t="str">
        <f aca="false">IF(N144="","",N144-Assumptions!$D$5)</f>
        <v/>
      </c>
      <c r="P144" s="22"/>
      <c r="Q144" s="22"/>
      <c r="R144" s="18" t="str">
        <f aca="false">IF(Q144="","",Q144*IF(LEFT(L144,7)="Phase 1",Assumptions!$B$11,Assumptions!$B$12))</f>
        <v/>
      </c>
    </row>
    <row r="145" customFormat="false" ht="15" hidden="false" customHeight="true" outlineLevel="0" collapsed="false">
      <c r="C145" s="24"/>
      <c r="F145" s="22"/>
      <c r="G145" s="23"/>
      <c r="H145" s="24"/>
      <c r="J145" s="18" t="str">
        <f aca="false">IF(F145="","",F145*G145)</f>
        <v/>
      </c>
      <c r="K145" s="5" t="str">
        <f aca="false">IF(A145="","",IF(H145&lt;&gt;"",Assumptions!$D$5-H145,IF(C145="","",Assumptions!$D$5-(C145+Assumptions!$B$8))))</f>
        <v/>
      </c>
      <c r="L145" s="5" t="str">
        <f aca="false">IF(K145="","",IF(K145&lt;0,"Phase 1 (unliquidated)",IF(K145&lt;=Assumptions!$B$7,"Phase 1 (recently liquidated)",IF(K145&lt;=Assumptions!$B$6,"Protest required","Deadline passed — litigation only"))))</f>
        <v/>
      </c>
      <c r="M145" s="20" t="str">
        <f aca="false">IF(K145="","",IF(H145&lt;&gt;"",H145+Assumptions!$B$6,C145+Assumptions!$B$8+Assumptions!$B$6))</f>
        <v/>
      </c>
      <c r="N145" s="20" t="str">
        <f aca="false">IF(K145="","",IF(K145&lt;0,IF(H145&lt;&gt;"",H145+Assumptions!$B$7,C145+Assumptions!$B$8+Assumptions!$B$7),M145))</f>
        <v/>
      </c>
      <c r="O145" s="21" t="str">
        <f aca="false">IF(N145="","",N145-Assumptions!$D$5)</f>
        <v/>
      </c>
      <c r="P145" s="22"/>
      <c r="Q145" s="22"/>
      <c r="R145" s="18" t="str">
        <f aca="false">IF(Q145="","",Q145*IF(LEFT(L145,7)="Phase 1",Assumptions!$B$11,Assumptions!$B$12))</f>
        <v/>
      </c>
    </row>
    <row r="146" customFormat="false" ht="15" hidden="false" customHeight="true" outlineLevel="0" collapsed="false">
      <c r="C146" s="24"/>
      <c r="F146" s="22"/>
      <c r="G146" s="23"/>
      <c r="H146" s="24"/>
      <c r="J146" s="18" t="str">
        <f aca="false">IF(F146="","",F146*G146)</f>
        <v/>
      </c>
      <c r="K146" s="5" t="str">
        <f aca="false">IF(A146="","",IF(H146&lt;&gt;"",Assumptions!$D$5-H146,IF(C146="","",Assumptions!$D$5-(C146+Assumptions!$B$8))))</f>
        <v/>
      </c>
      <c r="L146" s="5" t="str">
        <f aca="false">IF(K146="","",IF(K146&lt;0,"Phase 1 (unliquidated)",IF(K146&lt;=Assumptions!$B$7,"Phase 1 (recently liquidated)",IF(K146&lt;=Assumptions!$B$6,"Protest required","Deadline passed — litigation only"))))</f>
        <v/>
      </c>
      <c r="M146" s="20" t="str">
        <f aca="false">IF(K146="","",IF(H146&lt;&gt;"",H146+Assumptions!$B$6,C146+Assumptions!$B$8+Assumptions!$B$6))</f>
        <v/>
      </c>
      <c r="N146" s="20" t="str">
        <f aca="false">IF(K146="","",IF(K146&lt;0,IF(H146&lt;&gt;"",H146+Assumptions!$B$7,C146+Assumptions!$B$8+Assumptions!$B$7),M146))</f>
        <v/>
      </c>
      <c r="O146" s="21" t="str">
        <f aca="false">IF(N146="","",N146-Assumptions!$D$5)</f>
        <v/>
      </c>
      <c r="P146" s="22"/>
      <c r="Q146" s="22"/>
      <c r="R146" s="18" t="str">
        <f aca="false">IF(Q146="","",Q146*IF(LEFT(L146,7)="Phase 1",Assumptions!$B$11,Assumptions!$B$12))</f>
        <v/>
      </c>
    </row>
    <row r="147" customFormat="false" ht="15" hidden="false" customHeight="true" outlineLevel="0" collapsed="false">
      <c r="C147" s="24"/>
      <c r="F147" s="22"/>
      <c r="G147" s="23"/>
      <c r="H147" s="24"/>
      <c r="J147" s="18" t="str">
        <f aca="false">IF(F147="","",F147*G147)</f>
        <v/>
      </c>
      <c r="K147" s="5" t="str">
        <f aca="false">IF(A147="","",IF(H147&lt;&gt;"",Assumptions!$D$5-H147,IF(C147="","",Assumptions!$D$5-(C147+Assumptions!$B$8))))</f>
        <v/>
      </c>
      <c r="L147" s="5" t="str">
        <f aca="false">IF(K147="","",IF(K147&lt;0,"Phase 1 (unliquidated)",IF(K147&lt;=Assumptions!$B$7,"Phase 1 (recently liquidated)",IF(K147&lt;=Assumptions!$B$6,"Protest required","Deadline passed — litigation only"))))</f>
        <v/>
      </c>
      <c r="M147" s="20" t="str">
        <f aca="false">IF(K147="","",IF(H147&lt;&gt;"",H147+Assumptions!$B$6,C147+Assumptions!$B$8+Assumptions!$B$6))</f>
        <v/>
      </c>
      <c r="N147" s="20" t="str">
        <f aca="false">IF(K147="","",IF(K147&lt;0,IF(H147&lt;&gt;"",H147+Assumptions!$B$7,C147+Assumptions!$B$8+Assumptions!$B$7),M147))</f>
        <v/>
      </c>
      <c r="O147" s="21" t="str">
        <f aca="false">IF(N147="","",N147-Assumptions!$D$5)</f>
        <v/>
      </c>
      <c r="P147" s="22"/>
      <c r="Q147" s="22"/>
      <c r="R147" s="18" t="str">
        <f aca="false">IF(Q147="","",Q147*IF(LEFT(L147,7)="Phase 1",Assumptions!$B$11,Assumptions!$B$12))</f>
        <v/>
      </c>
    </row>
    <row r="148" customFormat="false" ht="15" hidden="false" customHeight="true" outlineLevel="0" collapsed="false">
      <c r="C148" s="24"/>
      <c r="F148" s="22"/>
      <c r="G148" s="23"/>
      <c r="H148" s="24"/>
      <c r="J148" s="18" t="str">
        <f aca="false">IF(F148="","",F148*G148)</f>
        <v/>
      </c>
      <c r="K148" s="5" t="str">
        <f aca="false">IF(A148="","",IF(H148&lt;&gt;"",Assumptions!$D$5-H148,IF(C148="","",Assumptions!$D$5-(C148+Assumptions!$B$8))))</f>
        <v/>
      </c>
      <c r="L148" s="5" t="str">
        <f aca="false">IF(K148="","",IF(K148&lt;0,"Phase 1 (unliquidated)",IF(K148&lt;=Assumptions!$B$7,"Phase 1 (recently liquidated)",IF(K148&lt;=Assumptions!$B$6,"Protest required","Deadline passed — litigation only"))))</f>
        <v/>
      </c>
      <c r="M148" s="20" t="str">
        <f aca="false">IF(K148="","",IF(H148&lt;&gt;"",H148+Assumptions!$B$6,C148+Assumptions!$B$8+Assumptions!$B$6))</f>
        <v/>
      </c>
      <c r="N148" s="20" t="str">
        <f aca="false">IF(K148="","",IF(K148&lt;0,IF(H148&lt;&gt;"",H148+Assumptions!$B$7,C148+Assumptions!$B$8+Assumptions!$B$7),M148))</f>
        <v/>
      </c>
      <c r="O148" s="21" t="str">
        <f aca="false">IF(N148="","",N148-Assumptions!$D$5)</f>
        <v/>
      </c>
      <c r="P148" s="22"/>
      <c r="Q148" s="22"/>
      <c r="R148" s="18" t="str">
        <f aca="false">IF(Q148="","",Q148*IF(LEFT(L148,7)="Phase 1",Assumptions!$B$11,Assumptions!$B$12))</f>
        <v/>
      </c>
    </row>
    <row r="149" customFormat="false" ht="15" hidden="false" customHeight="true" outlineLevel="0" collapsed="false">
      <c r="C149" s="24"/>
      <c r="F149" s="22"/>
      <c r="G149" s="23"/>
      <c r="H149" s="24"/>
      <c r="J149" s="18" t="str">
        <f aca="false">IF(F149="","",F149*G149)</f>
        <v/>
      </c>
      <c r="K149" s="5" t="str">
        <f aca="false">IF(A149="","",IF(H149&lt;&gt;"",Assumptions!$D$5-H149,IF(C149="","",Assumptions!$D$5-(C149+Assumptions!$B$8))))</f>
        <v/>
      </c>
      <c r="L149" s="5" t="str">
        <f aca="false">IF(K149="","",IF(K149&lt;0,"Phase 1 (unliquidated)",IF(K149&lt;=Assumptions!$B$7,"Phase 1 (recently liquidated)",IF(K149&lt;=Assumptions!$B$6,"Protest required","Deadline passed — litigation only"))))</f>
        <v/>
      </c>
      <c r="M149" s="20" t="str">
        <f aca="false">IF(K149="","",IF(H149&lt;&gt;"",H149+Assumptions!$B$6,C149+Assumptions!$B$8+Assumptions!$B$6))</f>
        <v/>
      </c>
      <c r="N149" s="20" t="str">
        <f aca="false">IF(K149="","",IF(K149&lt;0,IF(H149&lt;&gt;"",H149+Assumptions!$B$7,C149+Assumptions!$B$8+Assumptions!$B$7),M149))</f>
        <v/>
      </c>
      <c r="O149" s="21" t="str">
        <f aca="false">IF(N149="","",N149-Assumptions!$D$5)</f>
        <v/>
      </c>
      <c r="P149" s="22"/>
      <c r="Q149" s="22"/>
      <c r="R149" s="18" t="str">
        <f aca="false">IF(Q149="","",Q149*IF(LEFT(L149,7)="Phase 1",Assumptions!$B$11,Assumptions!$B$12))</f>
        <v/>
      </c>
    </row>
    <row r="150" customFormat="false" ht="15" hidden="false" customHeight="true" outlineLevel="0" collapsed="false">
      <c r="C150" s="24"/>
      <c r="F150" s="22"/>
      <c r="G150" s="23"/>
      <c r="H150" s="24"/>
      <c r="J150" s="18" t="str">
        <f aca="false">IF(F150="","",F150*G150)</f>
        <v/>
      </c>
      <c r="K150" s="5" t="str">
        <f aca="false">IF(A150="","",IF(H150&lt;&gt;"",Assumptions!$D$5-H150,IF(C150="","",Assumptions!$D$5-(C150+Assumptions!$B$8))))</f>
        <v/>
      </c>
      <c r="L150" s="5" t="str">
        <f aca="false">IF(K150="","",IF(K150&lt;0,"Phase 1 (unliquidated)",IF(K150&lt;=Assumptions!$B$7,"Phase 1 (recently liquidated)",IF(K150&lt;=Assumptions!$B$6,"Protest required","Deadline passed — litigation only"))))</f>
        <v/>
      </c>
      <c r="M150" s="20" t="str">
        <f aca="false">IF(K150="","",IF(H150&lt;&gt;"",H150+Assumptions!$B$6,C150+Assumptions!$B$8+Assumptions!$B$6))</f>
        <v/>
      </c>
      <c r="N150" s="20" t="str">
        <f aca="false">IF(K150="","",IF(K150&lt;0,IF(H150&lt;&gt;"",H150+Assumptions!$B$7,C150+Assumptions!$B$8+Assumptions!$B$7),M150))</f>
        <v/>
      </c>
      <c r="O150" s="21" t="str">
        <f aca="false">IF(N150="","",N150-Assumptions!$D$5)</f>
        <v/>
      </c>
      <c r="P150" s="22"/>
      <c r="Q150" s="22"/>
      <c r="R150" s="18" t="str">
        <f aca="false">IF(Q150="","",Q150*IF(LEFT(L150,7)="Phase 1",Assumptions!$B$11,Assumptions!$B$12))</f>
        <v/>
      </c>
    </row>
    <row r="151" customFormat="false" ht="15" hidden="false" customHeight="true" outlineLevel="0" collapsed="false">
      <c r="C151" s="24"/>
      <c r="F151" s="22"/>
      <c r="G151" s="23"/>
      <c r="H151" s="24"/>
      <c r="J151" s="18" t="str">
        <f aca="false">IF(F151="","",F151*G151)</f>
        <v/>
      </c>
      <c r="K151" s="5" t="str">
        <f aca="false">IF(A151="","",IF(H151&lt;&gt;"",Assumptions!$D$5-H151,IF(C151="","",Assumptions!$D$5-(C151+Assumptions!$B$8))))</f>
        <v/>
      </c>
      <c r="L151" s="5" t="str">
        <f aca="false">IF(K151="","",IF(K151&lt;0,"Phase 1 (unliquidated)",IF(K151&lt;=Assumptions!$B$7,"Phase 1 (recently liquidated)",IF(K151&lt;=Assumptions!$B$6,"Protest required","Deadline passed — litigation only"))))</f>
        <v/>
      </c>
      <c r="M151" s="20" t="str">
        <f aca="false">IF(K151="","",IF(H151&lt;&gt;"",H151+Assumptions!$B$6,C151+Assumptions!$B$8+Assumptions!$B$6))</f>
        <v/>
      </c>
      <c r="N151" s="20" t="str">
        <f aca="false">IF(K151="","",IF(K151&lt;0,IF(H151&lt;&gt;"",H151+Assumptions!$B$7,C151+Assumptions!$B$8+Assumptions!$B$7),M151))</f>
        <v/>
      </c>
      <c r="O151" s="21" t="str">
        <f aca="false">IF(N151="","",N151-Assumptions!$D$5)</f>
        <v/>
      </c>
      <c r="P151" s="22"/>
      <c r="Q151" s="22"/>
      <c r="R151" s="18" t="str">
        <f aca="false">IF(Q151="","",Q151*IF(LEFT(L151,7)="Phase 1",Assumptions!$B$11,Assumptions!$B$12))</f>
        <v/>
      </c>
    </row>
    <row r="152" customFormat="false" ht="15" hidden="false" customHeight="true" outlineLevel="0" collapsed="false">
      <c r="C152" s="24"/>
      <c r="F152" s="22"/>
      <c r="G152" s="23"/>
      <c r="H152" s="24"/>
      <c r="J152" s="18" t="str">
        <f aca="false">IF(F152="","",F152*G152)</f>
        <v/>
      </c>
      <c r="K152" s="5" t="str">
        <f aca="false">IF(A152="","",IF(H152&lt;&gt;"",Assumptions!$D$5-H152,IF(C152="","",Assumptions!$D$5-(C152+Assumptions!$B$8))))</f>
        <v/>
      </c>
      <c r="L152" s="5" t="str">
        <f aca="false">IF(K152="","",IF(K152&lt;0,"Phase 1 (unliquidated)",IF(K152&lt;=Assumptions!$B$7,"Phase 1 (recently liquidated)",IF(K152&lt;=Assumptions!$B$6,"Protest required","Deadline passed — litigation only"))))</f>
        <v/>
      </c>
      <c r="M152" s="20" t="str">
        <f aca="false">IF(K152="","",IF(H152&lt;&gt;"",H152+Assumptions!$B$6,C152+Assumptions!$B$8+Assumptions!$B$6))</f>
        <v/>
      </c>
      <c r="N152" s="20" t="str">
        <f aca="false">IF(K152="","",IF(K152&lt;0,IF(H152&lt;&gt;"",H152+Assumptions!$B$7,C152+Assumptions!$B$8+Assumptions!$B$7),M152))</f>
        <v/>
      </c>
      <c r="O152" s="21" t="str">
        <f aca="false">IF(N152="","",N152-Assumptions!$D$5)</f>
        <v/>
      </c>
      <c r="P152" s="22"/>
      <c r="Q152" s="22"/>
      <c r="R152" s="18" t="str">
        <f aca="false">IF(Q152="","",Q152*IF(LEFT(L152,7)="Phase 1",Assumptions!$B$11,Assumptions!$B$12))</f>
        <v/>
      </c>
    </row>
    <row r="153" customFormat="false" ht="15" hidden="false" customHeight="true" outlineLevel="0" collapsed="false">
      <c r="C153" s="24"/>
      <c r="F153" s="22"/>
      <c r="G153" s="23"/>
      <c r="H153" s="24"/>
      <c r="J153" s="18" t="str">
        <f aca="false">IF(F153="","",F153*G153)</f>
        <v/>
      </c>
      <c r="K153" s="5" t="str">
        <f aca="false">IF(A153="","",IF(H153&lt;&gt;"",Assumptions!$D$5-H153,IF(C153="","",Assumptions!$D$5-(C153+Assumptions!$B$8))))</f>
        <v/>
      </c>
      <c r="L153" s="5" t="str">
        <f aca="false">IF(K153="","",IF(K153&lt;0,"Phase 1 (unliquidated)",IF(K153&lt;=Assumptions!$B$7,"Phase 1 (recently liquidated)",IF(K153&lt;=Assumptions!$B$6,"Protest required","Deadline passed — litigation only"))))</f>
        <v/>
      </c>
      <c r="M153" s="20" t="str">
        <f aca="false">IF(K153="","",IF(H153&lt;&gt;"",H153+Assumptions!$B$6,C153+Assumptions!$B$8+Assumptions!$B$6))</f>
        <v/>
      </c>
      <c r="N153" s="20" t="str">
        <f aca="false">IF(K153="","",IF(K153&lt;0,IF(H153&lt;&gt;"",H153+Assumptions!$B$7,C153+Assumptions!$B$8+Assumptions!$B$7),M153))</f>
        <v/>
      </c>
      <c r="O153" s="21" t="str">
        <f aca="false">IF(N153="","",N153-Assumptions!$D$5)</f>
        <v/>
      </c>
      <c r="P153" s="22"/>
      <c r="Q153" s="22"/>
      <c r="R153" s="18" t="str">
        <f aca="false">IF(Q153="","",Q153*IF(LEFT(L153,7)="Phase 1",Assumptions!$B$11,Assumptions!$B$12))</f>
        <v/>
      </c>
    </row>
    <row r="154" customFormat="false" ht="15" hidden="false" customHeight="true" outlineLevel="0" collapsed="false">
      <c r="C154" s="24"/>
      <c r="F154" s="22"/>
      <c r="G154" s="23"/>
      <c r="H154" s="24"/>
      <c r="J154" s="18" t="str">
        <f aca="false">IF(F154="","",F154*G154)</f>
        <v/>
      </c>
      <c r="K154" s="5" t="str">
        <f aca="false">IF(A154="","",IF(H154&lt;&gt;"",Assumptions!$D$5-H154,IF(C154="","",Assumptions!$D$5-(C154+Assumptions!$B$8))))</f>
        <v/>
      </c>
      <c r="L154" s="5" t="str">
        <f aca="false">IF(K154="","",IF(K154&lt;0,"Phase 1 (unliquidated)",IF(K154&lt;=Assumptions!$B$7,"Phase 1 (recently liquidated)",IF(K154&lt;=Assumptions!$B$6,"Protest required","Deadline passed — litigation only"))))</f>
        <v/>
      </c>
      <c r="M154" s="20" t="str">
        <f aca="false">IF(K154="","",IF(H154&lt;&gt;"",H154+Assumptions!$B$6,C154+Assumptions!$B$8+Assumptions!$B$6))</f>
        <v/>
      </c>
      <c r="N154" s="20" t="str">
        <f aca="false">IF(K154="","",IF(K154&lt;0,IF(H154&lt;&gt;"",H154+Assumptions!$B$7,C154+Assumptions!$B$8+Assumptions!$B$7),M154))</f>
        <v/>
      </c>
      <c r="O154" s="21" t="str">
        <f aca="false">IF(N154="","",N154-Assumptions!$D$5)</f>
        <v/>
      </c>
      <c r="P154" s="22"/>
      <c r="Q154" s="22"/>
      <c r="R154" s="18" t="str">
        <f aca="false">IF(Q154="","",Q154*IF(LEFT(L154,7)="Phase 1",Assumptions!$B$11,Assumptions!$B$12))</f>
        <v/>
      </c>
    </row>
    <row r="155" customFormat="false" ht="15" hidden="false" customHeight="true" outlineLevel="0" collapsed="false">
      <c r="C155" s="24"/>
      <c r="F155" s="22"/>
      <c r="G155" s="23"/>
      <c r="H155" s="24"/>
      <c r="J155" s="18" t="str">
        <f aca="false">IF(F155="","",F155*G155)</f>
        <v/>
      </c>
      <c r="K155" s="5" t="str">
        <f aca="false">IF(A155="","",IF(H155&lt;&gt;"",Assumptions!$D$5-H155,IF(C155="","",Assumptions!$D$5-(C155+Assumptions!$B$8))))</f>
        <v/>
      </c>
      <c r="L155" s="5" t="str">
        <f aca="false">IF(K155="","",IF(K155&lt;0,"Phase 1 (unliquidated)",IF(K155&lt;=Assumptions!$B$7,"Phase 1 (recently liquidated)",IF(K155&lt;=Assumptions!$B$6,"Protest required","Deadline passed — litigation only"))))</f>
        <v/>
      </c>
      <c r="M155" s="20" t="str">
        <f aca="false">IF(K155="","",IF(H155&lt;&gt;"",H155+Assumptions!$B$6,C155+Assumptions!$B$8+Assumptions!$B$6))</f>
        <v/>
      </c>
      <c r="N155" s="20" t="str">
        <f aca="false">IF(K155="","",IF(K155&lt;0,IF(H155&lt;&gt;"",H155+Assumptions!$B$7,C155+Assumptions!$B$8+Assumptions!$B$7),M155))</f>
        <v/>
      </c>
      <c r="O155" s="21" t="str">
        <f aca="false">IF(N155="","",N155-Assumptions!$D$5)</f>
        <v/>
      </c>
      <c r="P155" s="22"/>
      <c r="Q155" s="22"/>
      <c r="R155" s="18" t="str">
        <f aca="false">IF(Q155="","",Q155*IF(LEFT(L155,7)="Phase 1",Assumptions!$B$11,Assumptions!$B$12))</f>
        <v/>
      </c>
    </row>
    <row r="156" customFormat="false" ht="15" hidden="false" customHeight="true" outlineLevel="0" collapsed="false">
      <c r="C156" s="24"/>
      <c r="F156" s="22"/>
      <c r="G156" s="23"/>
      <c r="H156" s="24"/>
      <c r="J156" s="18" t="str">
        <f aca="false">IF(F156="","",F156*G156)</f>
        <v/>
      </c>
      <c r="K156" s="5" t="str">
        <f aca="false">IF(A156="","",IF(H156&lt;&gt;"",Assumptions!$D$5-H156,IF(C156="","",Assumptions!$D$5-(C156+Assumptions!$B$8))))</f>
        <v/>
      </c>
      <c r="L156" s="5" t="str">
        <f aca="false">IF(K156="","",IF(K156&lt;0,"Phase 1 (unliquidated)",IF(K156&lt;=Assumptions!$B$7,"Phase 1 (recently liquidated)",IF(K156&lt;=Assumptions!$B$6,"Protest required","Deadline passed — litigation only"))))</f>
        <v/>
      </c>
      <c r="M156" s="20" t="str">
        <f aca="false">IF(K156="","",IF(H156&lt;&gt;"",H156+Assumptions!$B$6,C156+Assumptions!$B$8+Assumptions!$B$6))</f>
        <v/>
      </c>
      <c r="N156" s="20" t="str">
        <f aca="false">IF(K156="","",IF(K156&lt;0,IF(H156&lt;&gt;"",H156+Assumptions!$B$7,C156+Assumptions!$B$8+Assumptions!$B$7),M156))</f>
        <v/>
      </c>
      <c r="O156" s="21" t="str">
        <f aca="false">IF(N156="","",N156-Assumptions!$D$5)</f>
        <v/>
      </c>
      <c r="P156" s="22"/>
      <c r="Q156" s="22"/>
      <c r="R156" s="18" t="str">
        <f aca="false">IF(Q156="","",Q156*IF(LEFT(L156,7)="Phase 1",Assumptions!$B$11,Assumptions!$B$12))</f>
        <v/>
      </c>
    </row>
    <row r="157" customFormat="false" ht="15" hidden="false" customHeight="true" outlineLevel="0" collapsed="false">
      <c r="C157" s="24"/>
      <c r="F157" s="22"/>
      <c r="G157" s="23"/>
      <c r="H157" s="24"/>
      <c r="J157" s="18" t="str">
        <f aca="false">IF(F157="","",F157*G157)</f>
        <v/>
      </c>
      <c r="K157" s="5" t="str">
        <f aca="false">IF(A157="","",IF(H157&lt;&gt;"",Assumptions!$D$5-H157,IF(C157="","",Assumptions!$D$5-(C157+Assumptions!$B$8))))</f>
        <v/>
      </c>
      <c r="L157" s="5" t="str">
        <f aca="false">IF(K157="","",IF(K157&lt;0,"Phase 1 (unliquidated)",IF(K157&lt;=Assumptions!$B$7,"Phase 1 (recently liquidated)",IF(K157&lt;=Assumptions!$B$6,"Protest required","Deadline passed — litigation only"))))</f>
        <v/>
      </c>
      <c r="M157" s="20" t="str">
        <f aca="false">IF(K157="","",IF(H157&lt;&gt;"",H157+Assumptions!$B$6,C157+Assumptions!$B$8+Assumptions!$B$6))</f>
        <v/>
      </c>
      <c r="N157" s="20" t="str">
        <f aca="false">IF(K157="","",IF(K157&lt;0,IF(H157&lt;&gt;"",H157+Assumptions!$B$7,C157+Assumptions!$B$8+Assumptions!$B$7),M157))</f>
        <v/>
      </c>
      <c r="O157" s="21" t="str">
        <f aca="false">IF(N157="","",N157-Assumptions!$D$5)</f>
        <v/>
      </c>
      <c r="P157" s="22"/>
      <c r="Q157" s="22"/>
      <c r="R157" s="18" t="str">
        <f aca="false">IF(Q157="","",Q157*IF(LEFT(L157,7)="Phase 1",Assumptions!$B$11,Assumptions!$B$12))</f>
        <v/>
      </c>
    </row>
    <row r="158" customFormat="false" ht="15" hidden="false" customHeight="true" outlineLevel="0" collapsed="false">
      <c r="C158" s="24"/>
      <c r="F158" s="22"/>
      <c r="G158" s="23"/>
      <c r="H158" s="24"/>
      <c r="J158" s="18" t="str">
        <f aca="false">IF(F158="","",F158*G158)</f>
        <v/>
      </c>
      <c r="K158" s="5" t="str">
        <f aca="false">IF(A158="","",IF(H158&lt;&gt;"",Assumptions!$D$5-H158,IF(C158="","",Assumptions!$D$5-(C158+Assumptions!$B$8))))</f>
        <v/>
      </c>
      <c r="L158" s="5" t="str">
        <f aca="false">IF(K158="","",IF(K158&lt;0,"Phase 1 (unliquidated)",IF(K158&lt;=Assumptions!$B$7,"Phase 1 (recently liquidated)",IF(K158&lt;=Assumptions!$B$6,"Protest required","Deadline passed — litigation only"))))</f>
        <v/>
      </c>
      <c r="M158" s="20" t="str">
        <f aca="false">IF(K158="","",IF(H158&lt;&gt;"",H158+Assumptions!$B$6,C158+Assumptions!$B$8+Assumptions!$B$6))</f>
        <v/>
      </c>
      <c r="N158" s="20" t="str">
        <f aca="false">IF(K158="","",IF(K158&lt;0,IF(H158&lt;&gt;"",H158+Assumptions!$B$7,C158+Assumptions!$B$8+Assumptions!$B$7),M158))</f>
        <v/>
      </c>
      <c r="O158" s="21" t="str">
        <f aca="false">IF(N158="","",N158-Assumptions!$D$5)</f>
        <v/>
      </c>
      <c r="P158" s="22"/>
      <c r="Q158" s="22"/>
      <c r="R158" s="18" t="str">
        <f aca="false">IF(Q158="","",Q158*IF(LEFT(L158,7)="Phase 1",Assumptions!$B$11,Assumptions!$B$12))</f>
        <v/>
      </c>
    </row>
    <row r="159" customFormat="false" ht="15" hidden="false" customHeight="true" outlineLevel="0" collapsed="false">
      <c r="C159" s="24"/>
      <c r="F159" s="22"/>
      <c r="G159" s="23"/>
      <c r="H159" s="24"/>
      <c r="J159" s="18" t="str">
        <f aca="false">IF(F159="","",F159*G159)</f>
        <v/>
      </c>
      <c r="K159" s="5" t="str">
        <f aca="false">IF(A159="","",IF(H159&lt;&gt;"",Assumptions!$D$5-H159,IF(C159="","",Assumptions!$D$5-(C159+Assumptions!$B$8))))</f>
        <v/>
      </c>
      <c r="L159" s="5" t="str">
        <f aca="false">IF(K159="","",IF(K159&lt;0,"Phase 1 (unliquidated)",IF(K159&lt;=Assumptions!$B$7,"Phase 1 (recently liquidated)",IF(K159&lt;=Assumptions!$B$6,"Protest required","Deadline passed — litigation only"))))</f>
        <v/>
      </c>
      <c r="M159" s="20" t="str">
        <f aca="false">IF(K159="","",IF(H159&lt;&gt;"",H159+Assumptions!$B$6,C159+Assumptions!$B$8+Assumptions!$B$6))</f>
        <v/>
      </c>
      <c r="N159" s="20" t="str">
        <f aca="false">IF(K159="","",IF(K159&lt;0,IF(H159&lt;&gt;"",H159+Assumptions!$B$7,C159+Assumptions!$B$8+Assumptions!$B$7),M159))</f>
        <v/>
      </c>
      <c r="O159" s="21" t="str">
        <f aca="false">IF(N159="","",N159-Assumptions!$D$5)</f>
        <v/>
      </c>
      <c r="P159" s="22"/>
      <c r="Q159" s="22"/>
      <c r="R159" s="18" t="str">
        <f aca="false">IF(Q159="","",Q159*IF(LEFT(L159,7)="Phase 1",Assumptions!$B$11,Assumptions!$B$12))</f>
        <v/>
      </c>
    </row>
    <row r="160" customFormat="false" ht="15" hidden="false" customHeight="true" outlineLevel="0" collapsed="false">
      <c r="C160" s="24"/>
      <c r="F160" s="22"/>
      <c r="G160" s="23"/>
      <c r="H160" s="24"/>
      <c r="J160" s="18" t="str">
        <f aca="false">IF(F160="","",F160*G160)</f>
        <v/>
      </c>
      <c r="K160" s="5" t="str">
        <f aca="false">IF(A160="","",IF(H160&lt;&gt;"",Assumptions!$D$5-H160,IF(C160="","",Assumptions!$D$5-(C160+Assumptions!$B$8))))</f>
        <v/>
      </c>
      <c r="L160" s="5" t="str">
        <f aca="false">IF(K160="","",IF(K160&lt;0,"Phase 1 (unliquidated)",IF(K160&lt;=Assumptions!$B$7,"Phase 1 (recently liquidated)",IF(K160&lt;=Assumptions!$B$6,"Protest required","Deadline passed — litigation only"))))</f>
        <v/>
      </c>
      <c r="M160" s="20" t="str">
        <f aca="false">IF(K160="","",IF(H160&lt;&gt;"",H160+Assumptions!$B$6,C160+Assumptions!$B$8+Assumptions!$B$6))</f>
        <v/>
      </c>
      <c r="N160" s="20" t="str">
        <f aca="false">IF(K160="","",IF(K160&lt;0,IF(H160&lt;&gt;"",H160+Assumptions!$B$7,C160+Assumptions!$B$8+Assumptions!$B$7),M160))</f>
        <v/>
      </c>
      <c r="O160" s="21" t="str">
        <f aca="false">IF(N160="","",N160-Assumptions!$D$5)</f>
        <v/>
      </c>
      <c r="P160" s="22"/>
      <c r="Q160" s="22"/>
      <c r="R160" s="18" t="str">
        <f aca="false">IF(Q160="","",Q160*IF(LEFT(L160,7)="Phase 1",Assumptions!$B$11,Assumptions!$B$12))</f>
        <v/>
      </c>
    </row>
    <row r="161" customFormat="false" ht="15" hidden="false" customHeight="true" outlineLevel="0" collapsed="false">
      <c r="C161" s="24"/>
      <c r="F161" s="22"/>
      <c r="G161" s="23"/>
      <c r="H161" s="24"/>
      <c r="J161" s="18" t="str">
        <f aca="false">IF(F161="","",F161*G161)</f>
        <v/>
      </c>
      <c r="K161" s="5" t="str">
        <f aca="false">IF(A161="","",IF(H161&lt;&gt;"",Assumptions!$D$5-H161,IF(C161="","",Assumptions!$D$5-(C161+Assumptions!$B$8))))</f>
        <v/>
      </c>
      <c r="L161" s="5" t="str">
        <f aca="false">IF(K161="","",IF(K161&lt;0,"Phase 1 (unliquidated)",IF(K161&lt;=Assumptions!$B$7,"Phase 1 (recently liquidated)",IF(K161&lt;=Assumptions!$B$6,"Protest required","Deadline passed — litigation only"))))</f>
        <v/>
      </c>
      <c r="M161" s="20" t="str">
        <f aca="false">IF(K161="","",IF(H161&lt;&gt;"",H161+Assumptions!$B$6,C161+Assumptions!$B$8+Assumptions!$B$6))</f>
        <v/>
      </c>
      <c r="N161" s="20" t="str">
        <f aca="false">IF(K161="","",IF(K161&lt;0,IF(H161&lt;&gt;"",H161+Assumptions!$B$7,C161+Assumptions!$B$8+Assumptions!$B$7),M161))</f>
        <v/>
      </c>
      <c r="O161" s="21" t="str">
        <f aca="false">IF(N161="","",N161-Assumptions!$D$5)</f>
        <v/>
      </c>
      <c r="P161" s="22"/>
      <c r="Q161" s="22"/>
      <c r="R161" s="18" t="str">
        <f aca="false">IF(Q161="","",Q161*IF(LEFT(L161,7)="Phase 1",Assumptions!$B$11,Assumptions!$B$12))</f>
        <v/>
      </c>
    </row>
    <row r="162" customFormat="false" ht="15" hidden="false" customHeight="true" outlineLevel="0" collapsed="false">
      <c r="C162" s="24"/>
      <c r="F162" s="22"/>
      <c r="G162" s="23"/>
      <c r="H162" s="24"/>
      <c r="J162" s="18" t="str">
        <f aca="false">IF(F162="","",F162*G162)</f>
        <v/>
      </c>
      <c r="K162" s="5" t="str">
        <f aca="false">IF(A162="","",IF(H162&lt;&gt;"",Assumptions!$D$5-H162,IF(C162="","",Assumptions!$D$5-(C162+Assumptions!$B$8))))</f>
        <v/>
      </c>
      <c r="L162" s="5" t="str">
        <f aca="false">IF(K162="","",IF(K162&lt;0,"Phase 1 (unliquidated)",IF(K162&lt;=Assumptions!$B$7,"Phase 1 (recently liquidated)",IF(K162&lt;=Assumptions!$B$6,"Protest required","Deadline passed — litigation only"))))</f>
        <v/>
      </c>
      <c r="M162" s="20" t="str">
        <f aca="false">IF(K162="","",IF(H162&lt;&gt;"",H162+Assumptions!$B$6,C162+Assumptions!$B$8+Assumptions!$B$6))</f>
        <v/>
      </c>
      <c r="N162" s="20" t="str">
        <f aca="false">IF(K162="","",IF(K162&lt;0,IF(H162&lt;&gt;"",H162+Assumptions!$B$7,C162+Assumptions!$B$8+Assumptions!$B$7),M162))</f>
        <v/>
      </c>
      <c r="O162" s="21" t="str">
        <f aca="false">IF(N162="","",N162-Assumptions!$D$5)</f>
        <v/>
      </c>
      <c r="P162" s="22"/>
      <c r="Q162" s="22"/>
      <c r="R162" s="18" t="str">
        <f aca="false">IF(Q162="","",Q162*IF(LEFT(L162,7)="Phase 1",Assumptions!$B$11,Assumptions!$B$12))</f>
        <v/>
      </c>
    </row>
    <row r="163" customFormat="false" ht="15" hidden="false" customHeight="true" outlineLevel="0" collapsed="false">
      <c r="C163" s="24"/>
      <c r="F163" s="22"/>
      <c r="G163" s="23"/>
      <c r="H163" s="24"/>
      <c r="J163" s="18" t="str">
        <f aca="false">IF(F163="","",F163*G163)</f>
        <v/>
      </c>
      <c r="K163" s="5" t="str">
        <f aca="false">IF(A163="","",IF(H163&lt;&gt;"",Assumptions!$D$5-H163,IF(C163="","",Assumptions!$D$5-(C163+Assumptions!$B$8))))</f>
        <v/>
      </c>
      <c r="L163" s="5" t="str">
        <f aca="false">IF(K163="","",IF(K163&lt;0,"Phase 1 (unliquidated)",IF(K163&lt;=Assumptions!$B$7,"Phase 1 (recently liquidated)",IF(K163&lt;=Assumptions!$B$6,"Protest required","Deadline passed — litigation only"))))</f>
        <v/>
      </c>
      <c r="M163" s="20" t="str">
        <f aca="false">IF(K163="","",IF(H163&lt;&gt;"",H163+Assumptions!$B$6,C163+Assumptions!$B$8+Assumptions!$B$6))</f>
        <v/>
      </c>
      <c r="N163" s="20" t="str">
        <f aca="false">IF(K163="","",IF(K163&lt;0,IF(H163&lt;&gt;"",H163+Assumptions!$B$7,C163+Assumptions!$B$8+Assumptions!$B$7),M163))</f>
        <v/>
      </c>
      <c r="O163" s="21" t="str">
        <f aca="false">IF(N163="","",N163-Assumptions!$D$5)</f>
        <v/>
      </c>
      <c r="P163" s="22"/>
      <c r="Q163" s="22"/>
      <c r="R163" s="18" t="str">
        <f aca="false">IF(Q163="","",Q163*IF(LEFT(L163,7)="Phase 1",Assumptions!$B$11,Assumptions!$B$12))</f>
        <v/>
      </c>
    </row>
    <row r="164" customFormat="false" ht="15" hidden="false" customHeight="true" outlineLevel="0" collapsed="false">
      <c r="C164" s="24"/>
      <c r="F164" s="22"/>
      <c r="G164" s="23"/>
      <c r="H164" s="24"/>
      <c r="J164" s="18" t="str">
        <f aca="false">IF(F164="","",F164*G164)</f>
        <v/>
      </c>
      <c r="K164" s="5" t="str">
        <f aca="false">IF(A164="","",IF(H164&lt;&gt;"",Assumptions!$D$5-H164,IF(C164="","",Assumptions!$D$5-(C164+Assumptions!$B$8))))</f>
        <v/>
      </c>
      <c r="L164" s="5" t="str">
        <f aca="false">IF(K164="","",IF(K164&lt;0,"Phase 1 (unliquidated)",IF(K164&lt;=Assumptions!$B$7,"Phase 1 (recently liquidated)",IF(K164&lt;=Assumptions!$B$6,"Protest required","Deadline passed — litigation only"))))</f>
        <v/>
      </c>
      <c r="M164" s="20" t="str">
        <f aca="false">IF(K164="","",IF(H164&lt;&gt;"",H164+Assumptions!$B$6,C164+Assumptions!$B$8+Assumptions!$B$6))</f>
        <v/>
      </c>
      <c r="N164" s="20" t="str">
        <f aca="false">IF(K164="","",IF(K164&lt;0,IF(H164&lt;&gt;"",H164+Assumptions!$B$7,C164+Assumptions!$B$8+Assumptions!$B$7),M164))</f>
        <v/>
      </c>
      <c r="O164" s="21" t="str">
        <f aca="false">IF(N164="","",N164-Assumptions!$D$5)</f>
        <v/>
      </c>
      <c r="P164" s="22"/>
      <c r="Q164" s="22"/>
      <c r="R164" s="18" t="str">
        <f aca="false">IF(Q164="","",Q164*IF(LEFT(L164,7)="Phase 1",Assumptions!$B$11,Assumptions!$B$12))</f>
        <v/>
      </c>
    </row>
    <row r="165" customFormat="false" ht="15" hidden="false" customHeight="true" outlineLevel="0" collapsed="false">
      <c r="C165" s="24"/>
      <c r="F165" s="22"/>
      <c r="G165" s="23"/>
      <c r="H165" s="24"/>
      <c r="J165" s="18" t="str">
        <f aca="false">IF(F165="","",F165*G165)</f>
        <v/>
      </c>
      <c r="K165" s="5" t="str">
        <f aca="false">IF(A165="","",IF(H165&lt;&gt;"",Assumptions!$D$5-H165,IF(C165="","",Assumptions!$D$5-(C165+Assumptions!$B$8))))</f>
        <v/>
      </c>
      <c r="L165" s="5" t="str">
        <f aca="false">IF(K165="","",IF(K165&lt;0,"Phase 1 (unliquidated)",IF(K165&lt;=Assumptions!$B$7,"Phase 1 (recently liquidated)",IF(K165&lt;=Assumptions!$B$6,"Protest required","Deadline passed — litigation only"))))</f>
        <v/>
      </c>
      <c r="M165" s="20" t="str">
        <f aca="false">IF(K165="","",IF(H165&lt;&gt;"",H165+Assumptions!$B$6,C165+Assumptions!$B$8+Assumptions!$B$6))</f>
        <v/>
      </c>
      <c r="N165" s="20" t="str">
        <f aca="false">IF(K165="","",IF(K165&lt;0,IF(H165&lt;&gt;"",H165+Assumptions!$B$7,C165+Assumptions!$B$8+Assumptions!$B$7),M165))</f>
        <v/>
      </c>
      <c r="O165" s="21" t="str">
        <f aca="false">IF(N165="","",N165-Assumptions!$D$5)</f>
        <v/>
      </c>
      <c r="P165" s="22"/>
      <c r="Q165" s="22"/>
      <c r="R165" s="18" t="str">
        <f aca="false">IF(Q165="","",Q165*IF(LEFT(L165,7)="Phase 1",Assumptions!$B$11,Assumptions!$B$12))</f>
        <v/>
      </c>
    </row>
    <row r="166" customFormat="false" ht="15" hidden="false" customHeight="true" outlineLevel="0" collapsed="false">
      <c r="C166" s="24"/>
      <c r="F166" s="22"/>
      <c r="G166" s="23"/>
      <c r="H166" s="24"/>
      <c r="J166" s="18" t="str">
        <f aca="false">IF(F166="","",F166*G166)</f>
        <v/>
      </c>
      <c r="K166" s="5" t="str">
        <f aca="false">IF(A166="","",IF(H166&lt;&gt;"",Assumptions!$D$5-H166,IF(C166="","",Assumptions!$D$5-(C166+Assumptions!$B$8))))</f>
        <v/>
      </c>
      <c r="L166" s="5" t="str">
        <f aca="false">IF(K166="","",IF(K166&lt;0,"Phase 1 (unliquidated)",IF(K166&lt;=Assumptions!$B$7,"Phase 1 (recently liquidated)",IF(K166&lt;=Assumptions!$B$6,"Protest required","Deadline passed — litigation only"))))</f>
        <v/>
      </c>
      <c r="M166" s="20" t="str">
        <f aca="false">IF(K166="","",IF(H166&lt;&gt;"",H166+Assumptions!$B$6,C166+Assumptions!$B$8+Assumptions!$B$6))</f>
        <v/>
      </c>
      <c r="N166" s="20" t="str">
        <f aca="false">IF(K166="","",IF(K166&lt;0,IF(H166&lt;&gt;"",H166+Assumptions!$B$7,C166+Assumptions!$B$8+Assumptions!$B$7),M166))</f>
        <v/>
      </c>
      <c r="O166" s="21" t="str">
        <f aca="false">IF(N166="","",N166-Assumptions!$D$5)</f>
        <v/>
      </c>
      <c r="P166" s="22"/>
      <c r="Q166" s="22"/>
      <c r="R166" s="18" t="str">
        <f aca="false">IF(Q166="","",Q166*IF(LEFT(L166,7)="Phase 1",Assumptions!$B$11,Assumptions!$B$12))</f>
        <v/>
      </c>
    </row>
    <row r="167" customFormat="false" ht="15" hidden="false" customHeight="true" outlineLevel="0" collapsed="false">
      <c r="C167" s="24"/>
      <c r="F167" s="22"/>
      <c r="G167" s="23"/>
      <c r="H167" s="24"/>
      <c r="J167" s="18" t="str">
        <f aca="false">IF(F167="","",F167*G167)</f>
        <v/>
      </c>
      <c r="K167" s="5" t="str">
        <f aca="false">IF(A167="","",IF(H167&lt;&gt;"",Assumptions!$D$5-H167,IF(C167="","",Assumptions!$D$5-(C167+Assumptions!$B$8))))</f>
        <v/>
      </c>
      <c r="L167" s="5" t="str">
        <f aca="false">IF(K167="","",IF(K167&lt;0,"Phase 1 (unliquidated)",IF(K167&lt;=Assumptions!$B$7,"Phase 1 (recently liquidated)",IF(K167&lt;=Assumptions!$B$6,"Protest required","Deadline passed — litigation only"))))</f>
        <v/>
      </c>
      <c r="M167" s="20" t="str">
        <f aca="false">IF(K167="","",IF(H167&lt;&gt;"",H167+Assumptions!$B$6,C167+Assumptions!$B$8+Assumptions!$B$6))</f>
        <v/>
      </c>
      <c r="N167" s="20" t="str">
        <f aca="false">IF(K167="","",IF(K167&lt;0,IF(H167&lt;&gt;"",H167+Assumptions!$B$7,C167+Assumptions!$B$8+Assumptions!$B$7),M167))</f>
        <v/>
      </c>
      <c r="O167" s="21" t="str">
        <f aca="false">IF(N167="","",N167-Assumptions!$D$5)</f>
        <v/>
      </c>
      <c r="P167" s="22"/>
      <c r="Q167" s="22"/>
      <c r="R167" s="18" t="str">
        <f aca="false">IF(Q167="","",Q167*IF(LEFT(L167,7)="Phase 1",Assumptions!$B$11,Assumptions!$B$12))</f>
        <v/>
      </c>
    </row>
    <row r="168" customFormat="false" ht="15" hidden="false" customHeight="true" outlineLevel="0" collapsed="false">
      <c r="C168" s="24"/>
      <c r="F168" s="22"/>
      <c r="G168" s="23"/>
      <c r="H168" s="24"/>
      <c r="J168" s="18" t="str">
        <f aca="false">IF(F168="","",F168*G168)</f>
        <v/>
      </c>
      <c r="K168" s="5" t="str">
        <f aca="false">IF(A168="","",IF(H168&lt;&gt;"",Assumptions!$D$5-H168,IF(C168="","",Assumptions!$D$5-(C168+Assumptions!$B$8))))</f>
        <v/>
      </c>
      <c r="L168" s="5" t="str">
        <f aca="false">IF(K168="","",IF(K168&lt;0,"Phase 1 (unliquidated)",IF(K168&lt;=Assumptions!$B$7,"Phase 1 (recently liquidated)",IF(K168&lt;=Assumptions!$B$6,"Protest required","Deadline passed — litigation only"))))</f>
        <v/>
      </c>
      <c r="M168" s="20" t="str">
        <f aca="false">IF(K168="","",IF(H168&lt;&gt;"",H168+Assumptions!$B$6,C168+Assumptions!$B$8+Assumptions!$B$6))</f>
        <v/>
      </c>
      <c r="N168" s="20" t="str">
        <f aca="false">IF(K168="","",IF(K168&lt;0,IF(H168&lt;&gt;"",H168+Assumptions!$B$7,C168+Assumptions!$B$8+Assumptions!$B$7),M168))</f>
        <v/>
      </c>
      <c r="O168" s="21" t="str">
        <f aca="false">IF(N168="","",N168-Assumptions!$D$5)</f>
        <v/>
      </c>
      <c r="P168" s="22"/>
      <c r="Q168" s="22"/>
      <c r="R168" s="18" t="str">
        <f aca="false">IF(Q168="","",Q168*IF(LEFT(L168,7)="Phase 1",Assumptions!$B$11,Assumptions!$B$12))</f>
        <v/>
      </c>
    </row>
    <row r="169" customFormat="false" ht="15" hidden="false" customHeight="true" outlineLevel="0" collapsed="false">
      <c r="C169" s="24"/>
      <c r="F169" s="22"/>
      <c r="G169" s="23"/>
      <c r="H169" s="24"/>
      <c r="J169" s="18" t="str">
        <f aca="false">IF(F169="","",F169*G169)</f>
        <v/>
      </c>
      <c r="K169" s="5" t="str">
        <f aca="false">IF(A169="","",IF(H169&lt;&gt;"",Assumptions!$D$5-H169,IF(C169="","",Assumptions!$D$5-(C169+Assumptions!$B$8))))</f>
        <v/>
      </c>
      <c r="L169" s="5" t="str">
        <f aca="false">IF(K169="","",IF(K169&lt;0,"Phase 1 (unliquidated)",IF(K169&lt;=Assumptions!$B$7,"Phase 1 (recently liquidated)",IF(K169&lt;=Assumptions!$B$6,"Protest required","Deadline passed — litigation only"))))</f>
        <v/>
      </c>
      <c r="M169" s="20" t="str">
        <f aca="false">IF(K169="","",IF(H169&lt;&gt;"",H169+Assumptions!$B$6,C169+Assumptions!$B$8+Assumptions!$B$6))</f>
        <v/>
      </c>
      <c r="N169" s="20" t="str">
        <f aca="false">IF(K169="","",IF(K169&lt;0,IF(H169&lt;&gt;"",H169+Assumptions!$B$7,C169+Assumptions!$B$8+Assumptions!$B$7),M169))</f>
        <v/>
      </c>
      <c r="O169" s="21" t="str">
        <f aca="false">IF(N169="","",N169-Assumptions!$D$5)</f>
        <v/>
      </c>
      <c r="P169" s="22"/>
      <c r="Q169" s="22"/>
      <c r="R169" s="18" t="str">
        <f aca="false">IF(Q169="","",Q169*IF(LEFT(L169,7)="Phase 1",Assumptions!$B$11,Assumptions!$B$12))</f>
        <v/>
      </c>
    </row>
    <row r="170" customFormat="false" ht="15" hidden="false" customHeight="true" outlineLevel="0" collapsed="false">
      <c r="C170" s="24"/>
      <c r="F170" s="22"/>
      <c r="G170" s="23"/>
      <c r="H170" s="24"/>
      <c r="J170" s="18" t="str">
        <f aca="false">IF(F170="","",F170*G170)</f>
        <v/>
      </c>
      <c r="K170" s="5" t="str">
        <f aca="false">IF(A170="","",IF(H170&lt;&gt;"",Assumptions!$D$5-H170,IF(C170="","",Assumptions!$D$5-(C170+Assumptions!$B$8))))</f>
        <v/>
      </c>
      <c r="L170" s="5" t="str">
        <f aca="false">IF(K170="","",IF(K170&lt;0,"Phase 1 (unliquidated)",IF(K170&lt;=Assumptions!$B$7,"Phase 1 (recently liquidated)",IF(K170&lt;=Assumptions!$B$6,"Protest required","Deadline passed — litigation only"))))</f>
        <v/>
      </c>
      <c r="M170" s="20" t="str">
        <f aca="false">IF(K170="","",IF(H170&lt;&gt;"",H170+Assumptions!$B$6,C170+Assumptions!$B$8+Assumptions!$B$6))</f>
        <v/>
      </c>
      <c r="N170" s="20" t="str">
        <f aca="false">IF(K170="","",IF(K170&lt;0,IF(H170&lt;&gt;"",H170+Assumptions!$B$7,C170+Assumptions!$B$8+Assumptions!$B$7),M170))</f>
        <v/>
      </c>
      <c r="O170" s="21" t="str">
        <f aca="false">IF(N170="","",N170-Assumptions!$D$5)</f>
        <v/>
      </c>
      <c r="P170" s="22"/>
      <c r="Q170" s="22"/>
      <c r="R170" s="18" t="str">
        <f aca="false">IF(Q170="","",Q170*IF(LEFT(L170,7)="Phase 1",Assumptions!$B$11,Assumptions!$B$12))</f>
        <v/>
      </c>
    </row>
    <row r="171" customFormat="false" ht="15" hidden="false" customHeight="true" outlineLevel="0" collapsed="false">
      <c r="C171" s="24"/>
      <c r="F171" s="22"/>
      <c r="G171" s="23"/>
      <c r="H171" s="24"/>
      <c r="J171" s="18" t="str">
        <f aca="false">IF(F171="","",F171*G171)</f>
        <v/>
      </c>
      <c r="K171" s="5" t="str">
        <f aca="false">IF(A171="","",IF(H171&lt;&gt;"",Assumptions!$D$5-H171,IF(C171="","",Assumptions!$D$5-(C171+Assumptions!$B$8))))</f>
        <v/>
      </c>
      <c r="L171" s="5" t="str">
        <f aca="false">IF(K171="","",IF(K171&lt;0,"Phase 1 (unliquidated)",IF(K171&lt;=Assumptions!$B$7,"Phase 1 (recently liquidated)",IF(K171&lt;=Assumptions!$B$6,"Protest required","Deadline passed — litigation only"))))</f>
        <v/>
      </c>
      <c r="M171" s="20" t="str">
        <f aca="false">IF(K171="","",IF(H171&lt;&gt;"",H171+Assumptions!$B$6,C171+Assumptions!$B$8+Assumptions!$B$6))</f>
        <v/>
      </c>
      <c r="N171" s="20" t="str">
        <f aca="false">IF(K171="","",IF(K171&lt;0,IF(H171&lt;&gt;"",H171+Assumptions!$B$7,C171+Assumptions!$B$8+Assumptions!$B$7),M171))</f>
        <v/>
      </c>
      <c r="O171" s="21" t="str">
        <f aca="false">IF(N171="","",N171-Assumptions!$D$5)</f>
        <v/>
      </c>
      <c r="P171" s="22"/>
      <c r="Q171" s="22"/>
      <c r="R171" s="18" t="str">
        <f aca="false">IF(Q171="","",Q171*IF(LEFT(L171,7)="Phase 1",Assumptions!$B$11,Assumptions!$B$12))</f>
        <v/>
      </c>
    </row>
    <row r="172" customFormat="false" ht="15" hidden="false" customHeight="true" outlineLevel="0" collapsed="false">
      <c r="C172" s="24"/>
      <c r="F172" s="22"/>
      <c r="G172" s="23"/>
      <c r="H172" s="24"/>
      <c r="J172" s="18" t="str">
        <f aca="false">IF(F172="","",F172*G172)</f>
        <v/>
      </c>
      <c r="K172" s="5" t="str">
        <f aca="false">IF(A172="","",IF(H172&lt;&gt;"",Assumptions!$D$5-H172,IF(C172="","",Assumptions!$D$5-(C172+Assumptions!$B$8))))</f>
        <v/>
      </c>
      <c r="L172" s="5" t="str">
        <f aca="false">IF(K172="","",IF(K172&lt;0,"Phase 1 (unliquidated)",IF(K172&lt;=Assumptions!$B$7,"Phase 1 (recently liquidated)",IF(K172&lt;=Assumptions!$B$6,"Protest required","Deadline passed — litigation only"))))</f>
        <v/>
      </c>
      <c r="M172" s="20" t="str">
        <f aca="false">IF(K172="","",IF(H172&lt;&gt;"",H172+Assumptions!$B$6,C172+Assumptions!$B$8+Assumptions!$B$6))</f>
        <v/>
      </c>
      <c r="N172" s="20" t="str">
        <f aca="false">IF(K172="","",IF(K172&lt;0,IF(H172&lt;&gt;"",H172+Assumptions!$B$7,C172+Assumptions!$B$8+Assumptions!$B$7),M172))</f>
        <v/>
      </c>
      <c r="O172" s="21" t="str">
        <f aca="false">IF(N172="","",N172-Assumptions!$D$5)</f>
        <v/>
      </c>
      <c r="P172" s="22"/>
      <c r="Q172" s="22"/>
      <c r="R172" s="18" t="str">
        <f aca="false">IF(Q172="","",Q172*IF(LEFT(L172,7)="Phase 1",Assumptions!$B$11,Assumptions!$B$12))</f>
        <v/>
      </c>
    </row>
    <row r="173" customFormat="false" ht="15" hidden="false" customHeight="true" outlineLevel="0" collapsed="false">
      <c r="C173" s="24"/>
      <c r="F173" s="22"/>
      <c r="G173" s="23"/>
      <c r="H173" s="24"/>
      <c r="J173" s="18" t="str">
        <f aca="false">IF(F173="","",F173*G173)</f>
        <v/>
      </c>
      <c r="K173" s="5" t="str">
        <f aca="false">IF(A173="","",IF(H173&lt;&gt;"",Assumptions!$D$5-H173,IF(C173="","",Assumptions!$D$5-(C173+Assumptions!$B$8))))</f>
        <v/>
      </c>
      <c r="L173" s="5" t="str">
        <f aca="false">IF(K173="","",IF(K173&lt;0,"Phase 1 (unliquidated)",IF(K173&lt;=Assumptions!$B$7,"Phase 1 (recently liquidated)",IF(K173&lt;=Assumptions!$B$6,"Protest required","Deadline passed — litigation only"))))</f>
        <v/>
      </c>
      <c r="M173" s="20" t="str">
        <f aca="false">IF(K173="","",IF(H173&lt;&gt;"",H173+Assumptions!$B$6,C173+Assumptions!$B$8+Assumptions!$B$6))</f>
        <v/>
      </c>
      <c r="N173" s="20" t="str">
        <f aca="false">IF(K173="","",IF(K173&lt;0,IF(H173&lt;&gt;"",H173+Assumptions!$B$7,C173+Assumptions!$B$8+Assumptions!$B$7),M173))</f>
        <v/>
      </c>
      <c r="O173" s="21" t="str">
        <f aca="false">IF(N173="","",N173-Assumptions!$D$5)</f>
        <v/>
      </c>
      <c r="P173" s="22"/>
      <c r="Q173" s="22"/>
      <c r="R173" s="18" t="str">
        <f aca="false">IF(Q173="","",Q173*IF(LEFT(L173,7)="Phase 1",Assumptions!$B$11,Assumptions!$B$12))</f>
        <v/>
      </c>
    </row>
    <row r="174" customFormat="false" ht="15" hidden="false" customHeight="true" outlineLevel="0" collapsed="false">
      <c r="C174" s="24"/>
      <c r="F174" s="22"/>
      <c r="G174" s="23"/>
      <c r="H174" s="24"/>
      <c r="J174" s="18" t="str">
        <f aca="false">IF(F174="","",F174*G174)</f>
        <v/>
      </c>
      <c r="K174" s="5" t="str">
        <f aca="false">IF(A174="","",IF(H174&lt;&gt;"",Assumptions!$D$5-H174,IF(C174="","",Assumptions!$D$5-(C174+Assumptions!$B$8))))</f>
        <v/>
      </c>
      <c r="L174" s="5" t="str">
        <f aca="false">IF(K174="","",IF(K174&lt;0,"Phase 1 (unliquidated)",IF(K174&lt;=Assumptions!$B$7,"Phase 1 (recently liquidated)",IF(K174&lt;=Assumptions!$B$6,"Protest required","Deadline passed — litigation only"))))</f>
        <v/>
      </c>
      <c r="M174" s="20" t="str">
        <f aca="false">IF(K174="","",IF(H174&lt;&gt;"",H174+Assumptions!$B$6,C174+Assumptions!$B$8+Assumptions!$B$6))</f>
        <v/>
      </c>
      <c r="N174" s="20" t="str">
        <f aca="false">IF(K174="","",IF(K174&lt;0,IF(H174&lt;&gt;"",H174+Assumptions!$B$7,C174+Assumptions!$B$8+Assumptions!$B$7),M174))</f>
        <v/>
      </c>
      <c r="O174" s="21" t="str">
        <f aca="false">IF(N174="","",N174-Assumptions!$D$5)</f>
        <v/>
      </c>
      <c r="P174" s="22"/>
      <c r="Q174" s="22"/>
      <c r="R174" s="18" t="str">
        <f aca="false">IF(Q174="","",Q174*IF(LEFT(L174,7)="Phase 1",Assumptions!$B$11,Assumptions!$B$12))</f>
        <v/>
      </c>
    </row>
    <row r="175" customFormat="false" ht="15" hidden="false" customHeight="true" outlineLevel="0" collapsed="false">
      <c r="C175" s="24"/>
      <c r="F175" s="22"/>
      <c r="G175" s="23"/>
      <c r="H175" s="24"/>
      <c r="J175" s="18" t="str">
        <f aca="false">IF(F175="","",F175*G175)</f>
        <v/>
      </c>
      <c r="K175" s="5" t="str">
        <f aca="false">IF(A175="","",IF(H175&lt;&gt;"",Assumptions!$D$5-H175,IF(C175="","",Assumptions!$D$5-(C175+Assumptions!$B$8))))</f>
        <v/>
      </c>
      <c r="L175" s="5" t="str">
        <f aca="false">IF(K175="","",IF(K175&lt;0,"Phase 1 (unliquidated)",IF(K175&lt;=Assumptions!$B$7,"Phase 1 (recently liquidated)",IF(K175&lt;=Assumptions!$B$6,"Protest required","Deadline passed — litigation only"))))</f>
        <v/>
      </c>
      <c r="M175" s="20" t="str">
        <f aca="false">IF(K175="","",IF(H175&lt;&gt;"",H175+Assumptions!$B$6,C175+Assumptions!$B$8+Assumptions!$B$6))</f>
        <v/>
      </c>
      <c r="N175" s="20" t="str">
        <f aca="false">IF(K175="","",IF(K175&lt;0,IF(H175&lt;&gt;"",H175+Assumptions!$B$7,C175+Assumptions!$B$8+Assumptions!$B$7),M175))</f>
        <v/>
      </c>
      <c r="O175" s="21" t="str">
        <f aca="false">IF(N175="","",N175-Assumptions!$D$5)</f>
        <v/>
      </c>
      <c r="P175" s="22"/>
      <c r="Q175" s="22"/>
      <c r="R175" s="18" t="str">
        <f aca="false">IF(Q175="","",Q175*IF(LEFT(L175,7)="Phase 1",Assumptions!$B$11,Assumptions!$B$12))</f>
        <v/>
      </c>
    </row>
    <row r="176" customFormat="false" ht="15" hidden="false" customHeight="true" outlineLevel="0" collapsed="false">
      <c r="C176" s="24"/>
      <c r="F176" s="22"/>
      <c r="G176" s="23"/>
      <c r="H176" s="24"/>
      <c r="J176" s="18" t="str">
        <f aca="false">IF(F176="","",F176*G176)</f>
        <v/>
      </c>
      <c r="K176" s="5" t="str">
        <f aca="false">IF(A176="","",IF(H176&lt;&gt;"",Assumptions!$D$5-H176,IF(C176="","",Assumptions!$D$5-(C176+Assumptions!$B$8))))</f>
        <v/>
      </c>
      <c r="L176" s="5" t="str">
        <f aca="false">IF(K176="","",IF(K176&lt;0,"Phase 1 (unliquidated)",IF(K176&lt;=Assumptions!$B$7,"Phase 1 (recently liquidated)",IF(K176&lt;=Assumptions!$B$6,"Protest required","Deadline passed — litigation only"))))</f>
        <v/>
      </c>
      <c r="M176" s="20" t="str">
        <f aca="false">IF(K176="","",IF(H176&lt;&gt;"",H176+Assumptions!$B$6,C176+Assumptions!$B$8+Assumptions!$B$6))</f>
        <v/>
      </c>
      <c r="N176" s="20" t="str">
        <f aca="false">IF(K176="","",IF(K176&lt;0,IF(H176&lt;&gt;"",H176+Assumptions!$B$7,C176+Assumptions!$B$8+Assumptions!$B$7),M176))</f>
        <v/>
      </c>
      <c r="O176" s="21" t="str">
        <f aca="false">IF(N176="","",N176-Assumptions!$D$5)</f>
        <v/>
      </c>
      <c r="P176" s="22"/>
      <c r="Q176" s="22"/>
      <c r="R176" s="18" t="str">
        <f aca="false">IF(Q176="","",Q176*IF(LEFT(L176,7)="Phase 1",Assumptions!$B$11,Assumptions!$B$12))</f>
        <v/>
      </c>
    </row>
    <row r="177" customFormat="false" ht="15" hidden="false" customHeight="true" outlineLevel="0" collapsed="false">
      <c r="C177" s="24"/>
      <c r="F177" s="22"/>
      <c r="G177" s="23"/>
      <c r="H177" s="24"/>
      <c r="J177" s="18" t="str">
        <f aca="false">IF(F177="","",F177*G177)</f>
        <v/>
      </c>
      <c r="K177" s="5" t="str">
        <f aca="false">IF(A177="","",IF(H177&lt;&gt;"",Assumptions!$D$5-H177,IF(C177="","",Assumptions!$D$5-(C177+Assumptions!$B$8))))</f>
        <v/>
      </c>
      <c r="L177" s="5" t="str">
        <f aca="false">IF(K177="","",IF(K177&lt;0,"Phase 1 (unliquidated)",IF(K177&lt;=Assumptions!$B$7,"Phase 1 (recently liquidated)",IF(K177&lt;=Assumptions!$B$6,"Protest required","Deadline passed — litigation only"))))</f>
        <v/>
      </c>
      <c r="M177" s="20" t="str">
        <f aca="false">IF(K177="","",IF(H177&lt;&gt;"",H177+Assumptions!$B$6,C177+Assumptions!$B$8+Assumptions!$B$6))</f>
        <v/>
      </c>
      <c r="N177" s="20" t="str">
        <f aca="false">IF(K177="","",IF(K177&lt;0,IF(H177&lt;&gt;"",H177+Assumptions!$B$7,C177+Assumptions!$B$8+Assumptions!$B$7),M177))</f>
        <v/>
      </c>
      <c r="O177" s="21" t="str">
        <f aca="false">IF(N177="","",N177-Assumptions!$D$5)</f>
        <v/>
      </c>
      <c r="P177" s="22"/>
      <c r="Q177" s="22"/>
      <c r="R177" s="18" t="str">
        <f aca="false">IF(Q177="","",Q177*IF(LEFT(L177,7)="Phase 1",Assumptions!$B$11,Assumptions!$B$12))</f>
        <v/>
      </c>
    </row>
    <row r="178" customFormat="false" ht="15" hidden="false" customHeight="true" outlineLevel="0" collapsed="false">
      <c r="C178" s="24"/>
      <c r="F178" s="22"/>
      <c r="G178" s="23"/>
      <c r="H178" s="24"/>
      <c r="J178" s="18" t="str">
        <f aca="false">IF(F178="","",F178*G178)</f>
        <v/>
      </c>
      <c r="K178" s="5" t="str">
        <f aca="false">IF(A178="","",IF(H178&lt;&gt;"",Assumptions!$D$5-H178,IF(C178="","",Assumptions!$D$5-(C178+Assumptions!$B$8))))</f>
        <v/>
      </c>
      <c r="L178" s="5" t="str">
        <f aca="false">IF(K178="","",IF(K178&lt;0,"Phase 1 (unliquidated)",IF(K178&lt;=Assumptions!$B$7,"Phase 1 (recently liquidated)",IF(K178&lt;=Assumptions!$B$6,"Protest required","Deadline passed — litigation only"))))</f>
        <v/>
      </c>
      <c r="M178" s="20" t="str">
        <f aca="false">IF(K178="","",IF(H178&lt;&gt;"",H178+Assumptions!$B$6,C178+Assumptions!$B$8+Assumptions!$B$6))</f>
        <v/>
      </c>
      <c r="N178" s="20" t="str">
        <f aca="false">IF(K178="","",IF(K178&lt;0,IF(H178&lt;&gt;"",H178+Assumptions!$B$7,C178+Assumptions!$B$8+Assumptions!$B$7),M178))</f>
        <v/>
      </c>
      <c r="O178" s="21" t="str">
        <f aca="false">IF(N178="","",N178-Assumptions!$D$5)</f>
        <v/>
      </c>
      <c r="P178" s="22"/>
      <c r="Q178" s="22"/>
      <c r="R178" s="18" t="str">
        <f aca="false">IF(Q178="","",Q178*IF(LEFT(L178,7)="Phase 1",Assumptions!$B$11,Assumptions!$B$12))</f>
        <v/>
      </c>
    </row>
    <row r="179" customFormat="false" ht="15" hidden="false" customHeight="true" outlineLevel="0" collapsed="false">
      <c r="C179" s="24"/>
      <c r="F179" s="22"/>
      <c r="G179" s="23"/>
      <c r="H179" s="24"/>
      <c r="J179" s="18" t="str">
        <f aca="false">IF(F179="","",F179*G179)</f>
        <v/>
      </c>
      <c r="K179" s="5" t="str">
        <f aca="false">IF(A179="","",IF(H179&lt;&gt;"",Assumptions!$D$5-H179,IF(C179="","",Assumptions!$D$5-(C179+Assumptions!$B$8))))</f>
        <v/>
      </c>
      <c r="L179" s="5" t="str">
        <f aca="false">IF(K179="","",IF(K179&lt;0,"Phase 1 (unliquidated)",IF(K179&lt;=Assumptions!$B$7,"Phase 1 (recently liquidated)",IF(K179&lt;=Assumptions!$B$6,"Protest required","Deadline passed — litigation only"))))</f>
        <v/>
      </c>
      <c r="M179" s="20" t="str">
        <f aca="false">IF(K179="","",IF(H179&lt;&gt;"",H179+Assumptions!$B$6,C179+Assumptions!$B$8+Assumptions!$B$6))</f>
        <v/>
      </c>
      <c r="N179" s="20" t="str">
        <f aca="false">IF(K179="","",IF(K179&lt;0,IF(H179&lt;&gt;"",H179+Assumptions!$B$7,C179+Assumptions!$B$8+Assumptions!$B$7),M179))</f>
        <v/>
      </c>
      <c r="O179" s="21" t="str">
        <f aca="false">IF(N179="","",N179-Assumptions!$D$5)</f>
        <v/>
      </c>
      <c r="P179" s="22"/>
      <c r="Q179" s="22"/>
      <c r="R179" s="18" t="str">
        <f aca="false">IF(Q179="","",Q179*IF(LEFT(L179,7)="Phase 1",Assumptions!$B$11,Assumptions!$B$12))</f>
        <v/>
      </c>
    </row>
    <row r="180" customFormat="false" ht="15" hidden="false" customHeight="true" outlineLevel="0" collapsed="false">
      <c r="C180" s="24"/>
      <c r="F180" s="22"/>
      <c r="G180" s="23"/>
      <c r="H180" s="24"/>
      <c r="J180" s="18" t="str">
        <f aca="false">IF(F180="","",F180*G180)</f>
        <v/>
      </c>
      <c r="K180" s="5" t="str">
        <f aca="false">IF(A180="","",IF(H180&lt;&gt;"",Assumptions!$D$5-H180,IF(C180="","",Assumptions!$D$5-(C180+Assumptions!$B$8))))</f>
        <v/>
      </c>
      <c r="L180" s="5" t="str">
        <f aca="false">IF(K180="","",IF(K180&lt;0,"Phase 1 (unliquidated)",IF(K180&lt;=Assumptions!$B$7,"Phase 1 (recently liquidated)",IF(K180&lt;=Assumptions!$B$6,"Protest required","Deadline passed — litigation only"))))</f>
        <v/>
      </c>
      <c r="M180" s="20" t="str">
        <f aca="false">IF(K180="","",IF(H180&lt;&gt;"",H180+Assumptions!$B$6,C180+Assumptions!$B$8+Assumptions!$B$6))</f>
        <v/>
      </c>
      <c r="N180" s="20" t="str">
        <f aca="false">IF(K180="","",IF(K180&lt;0,IF(H180&lt;&gt;"",H180+Assumptions!$B$7,C180+Assumptions!$B$8+Assumptions!$B$7),M180))</f>
        <v/>
      </c>
      <c r="O180" s="21" t="str">
        <f aca="false">IF(N180="","",N180-Assumptions!$D$5)</f>
        <v/>
      </c>
      <c r="P180" s="22"/>
      <c r="Q180" s="22"/>
      <c r="R180" s="18" t="str">
        <f aca="false">IF(Q180="","",Q180*IF(LEFT(L180,7)="Phase 1",Assumptions!$B$11,Assumptions!$B$12))</f>
        <v/>
      </c>
    </row>
    <row r="181" customFormat="false" ht="15" hidden="false" customHeight="true" outlineLevel="0" collapsed="false">
      <c r="C181" s="24"/>
      <c r="F181" s="22"/>
      <c r="G181" s="23"/>
      <c r="H181" s="24"/>
      <c r="J181" s="18" t="str">
        <f aca="false">IF(F181="","",F181*G181)</f>
        <v/>
      </c>
      <c r="K181" s="5" t="str">
        <f aca="false">IF(A181="","",IF(H181&lt;&gt;"",Assumptions!$D$5-H181,IF(C181="","",Assumptions!$D$5-(C181+Assumptions!$B$8))))</f>
        <v/>
      </c>
      <c r="L181" s="5" t="str">
        <f aca="false">IF(K181="","",IF(K181&lt;0,"Phase 1 (unliquidated)",IF(K181&lt;=Assumptions!$B$7,"Phase 1 (recently liquidated)",IF(K181&lt;=Assumptions!$B$6,"Protest required","Deadline passed — litigation only"))))</f>
        <v/>
      </c>
      <c r="M181" s="20" t="str">
        <f aca="false">IF(K181="","",IF(H181&lt;&gt;"",H181+Assumptions!$B$6,C181+Assumptions!$B$8+Assumptions!$B$6))</f>
        <v/>
      </c>
      <c r="N181" s="20" t="str">
        <f aca="false">IF(K181="","",IF(K181&lt;0,IF(H181&lt;&gt;"",H181+Assumptions!$B$7,C181+Assumptions!$B$8+Assumptions!$B$7),M181))</f>
        <v/>
      </c>
      <c r="O181" s="21" t="str">
        <f aca="false">IF(N181="","",N181-Assumptions!$D$5)</f>
        <v/>
      </c>
      <c r="P181" s="22"/>
      <c r="Q181" s="22"/>
      <c r="R181" s="18" t="str">
        <f aca="false">IF(Q181="","",Q181*IF(LEFT(L181,7)="Phase 1",Assumptions!$B$11,Assumptions!$B$12))</f>
        <v/>
      </c>
    </row>
    <row r="182" customFormat="false" ht="15" hidden="false" customHeight="true" outlineLevel="0" collapsed="false">
      <c r="C182" s="24"/>
      <c r="F182" s="22"/>
      <c r="G182" s="23"/>
      <c r="H182" s="24"/>
      <c r="J182" s="18" t="str">
        <f aca="false">IF(F182="","",F182*G182)</f>
        <v/>
      </c>
      <c r="K182" s="5" t="str">
        <f aca="false">IF(A182="","",IF(H182&lt;&gt;"",Assumptions!$D$5-H182,IF(C182="","",Assumptions!$D$5-(C182+Assumptions!$B$8))))</f>
        <v/>
      </c>
      <c r="L182" s="5" t="str">
        <f aca="false">IF(K182="","",IF(K182&lt;0,"Phase 1 (unliquidated)",IF(K182&lt;=Assumptions!$B$7,"Phase 1 (recently liquidated)",IF(K182&lt;=Assumptions!$B$6,"Protest required","Deadline passed — litigation only"))))</f>
        <v/>
      </c>
      <c r="M182" s="20" t="str">
        <f aca="false">IF(K182="","",IF(H182&lt;&gt;"",H182+Assumptions!$B$6,C182+Assumptions!$B$8+Assumptions!$B$6))</f>
        <v/>
      </c>
      <c r="N182" s="20" t="str">
        <f aca="false">IF(K182="","",IF(K182&lt;0,IF(H182&lt;&gt;"",H182+Assumptions!$B$7,C182+Assumptions!$B$8+Assumptions!$B$7),M182))</f>
        <v/>
      </c>
      <c r="O182" s="21" t="str">
        <f aca="false">IF(N182="","",N182-Assumptions!$D$5)</f>
        <v/>
      </c>
      <c r="P182" s="22"/>
      <c r="Q182" s="22"/>
      <c r="R182" s="18" t="str">
        <f aca="false">IF(Q182="","",Q182*IF(LEFT(L182,7)="Phase 1",Assumptions!$B$11,Assumptions!$B$12))</f>
        <v/>
      </c>
    </row>
    <row r="183" customFormat="false" ht="15" hidden="false" customHeight="true" outlineLevel="0" collapsed="false">
      <c r="C183" s="24"/>
      <c r="F183" s="22"/>
      <c r="G183" s="23"/>
      <c r="H183" s="24"/>
      <c r="J183" s="18" t="str">
        <f aca="false">IF(F183="","",F183*G183)</f>
        <v/>
      </c>
      <c r="K183" s="5" t="str">
        <f aca="false">IF(A183="","",IF(H183&lt;&gt;"",Assumptions!$D$5-H183,IF(C183="","",Assumptions!$D$5-(C183+Assumptions!$B$8))))</f>
        <v/>
      </c>
      <c r="L183" s="5" t="str">
        <f aca="false">IF(K183="","",IF(K183&lt;0,"Phase 1 (unliquidated)",IF(K183&lt;=Assumptions!$B$7,"Phase 1 (recently liquidated)",IF(K183&lt;=Assumptions!$B$6,"Protest required","Deadline passed — litigation only"))))</f>
        <v/>
      </c>
      <c r="M183" s="20" t="str">
        <f aca="false">IF(K183="","",IF(H183&lt;&gt;"",H183+Assumptions!$B$6,C183+Assumptions!$B$8+Assumptions!$B$6))</f>
        <v/>
      </c>
      <c r="N183" s="20" t="str">
        <f aca="false">IF(K183="","",IF(K183&lt;0,IF(H183&lt;&gt;"",H183+Assumptions!$B$7,C183+Assumptions!$B$8+Assumptions!$B$7),M183))</f>
        <v/>
      </c>
      <c r="O183" s="21" t="str">
        <f aca="false">IF(N183="","",N183-Assumptions!$D$5)</f>
        <v/>
      </c>
      <c r="P183" s="22"/>
      <c r="Q183" s="22"/>
      <c r="R183" s="18" t="str">
        <f aca="false">IF(Q183="","",Q183*IF(LEFT(L183,7)="Phase 1",Assumptions!$B$11,Assumptions!$B$12))</f>
        <v/>
      </c>
    </row>
    <row r="184" customFormat="false" ht="15" hidden="false" customHeight="true" outlineLevel="0" collapsed="false">
      <c r="C184" s="24"/>
      <c r="F184" s="22"/>
      <c r="G184" s="23"/>
      <c r="H184" s="24"/>
      <c r="J184" s="18" t="str">
        <f aca="false">IF(F184="","",F184*G184)</f>
        <v/>
      </c>
      <c r="K184" s="5" t="str">
        <f aca="false">IF(A184="","",IF(H184&lt;&gt;"",Assumptions!$D$5-H184,IF(C184="","",Assumptions!$D$5-(C184+Assumptions!$B$8))))</f>
        <v/>
      </c>
      <c r="L184" s="5" t="str">
        <f aca="false">IF(K184="","",IF(K184&lt;0,"Phase 1 (unliquidated)",IF(K184&lt;=Assumptions!$B$7,"Phase 1 (recently liquidated)",IF(K184&lt;=Assumptions!$B$6,"Protest required","Deadline passed — litigation only"))))</f>
        <v/>
      </c>
      <c r="M184" s="20" t="str">
        <f aca="false">IF(K184="","",IF(H184&lt;&gt;"",H184+Assumptions!$B$6,C184+Assumptions!$B$8+Assumptions!$B$6))</f>
        <v/>
      </c>
      <c r="N184" s="20" t="str">
        <f aca="false">IF(K184="","",IF(K184&lt;0,IF(H184&lt;&gt;"",H184+Assumptions!$B$7,C184+Assumptions!$B$8+Assumptions!$B$7),M184))</f>
        <v/>
      </c>
      <c r="O184" s="21" t="str">
        <f aca="false">IF(N184="","",N184-Assumptions!$D$5)</f>
        <v/>
      </c>
      <c r="P184" s="22"/>
      <c r="Q184" s="22"/>
      <c r="R184" s="18" t="str">
        <f aca="false">IF(Q184="","",Q184*IF(LEFT(L184,7)="Phase 1",Assumptions!$B$11,Assumptions!$B$12))</f>
        <v/>
      </c>
    </row>
    <row r="185" customFormat="false" ht="15" hidden="false" customHeight="true" outlineLevel="0" collapsed="false">
      <c r="C185" s="24"/>
      <c r="F185" s="22"/>
      <c r="G185" s="23"/>
      <c r="H185" s="24"/>
      <c r="J185" s="18" t="str">
        <f aca="false">IF(F185="","",F185*G185)</f>
        <v/>
      </c>
      <c r="K185" s="5" t="str">
        <f aca="false">IF(A185="","",IF(H185&lt;&gt;"",Assumptions!$D$5-H185,IF(C185="","",Assumptions!$D$5-(C185+Assumptions!$B$8))))</f>
        <v/>
      </c>
      <c r="L185" s="5" t="str">
        <f aca="false">IF(K185="","",IF(K185&lt;0,"Phase 1 (unliquidated)",IF(K185&lt;=Assumptions!$B$7,"Phase 1 (recently liquidated)",IF(K185&lt;=Assumptions!$B$6,"Protest required","Deadline passed — litigation only"))))</f>
        <v/>
      </c>
      <c r="M185" s="20" t="str">
        <f aca="false">IF(K185="","",IF(H185&lt;&gt;"",H185+Assumptions!$B$6,C185+Assumptions!$B$8+Assumptions!$B$6))</f>
        <v/>
      </c>
      <c r="N185" s="20" t="str">
        <f aca="false">IF(K185="","",IF(K185&lt;0,IF(H185&lt;&gt;"",H185+Assumptions!$B$7,C185+Assumptions!$B$8+Assumptions!$B$7),M185))</f>
        <v/>
      </c>
      <c r="O185" s="21" t="str">
        <f aca="false">IF(N185="","",N185-Assumptions!$D$5)</f>
        <v/>
      </c>
      <c r="P185" s="22"/>
      <c r="Q185" s="22"/>
      <c r="R185" s="18" t="str">
        <f aca="false">IF(Q185="","",Q185*IF(LEFT(L185,7)="Phase 1",Assumptions!$B$11,Assumptions!$B$12))</f>
        <v/>
      </c>
    </row>
    <row r="186" customFormat="false" ht="15" hidden="false" customHeight="true" outlineLevel="0" collapsed="false">
      <c r="C186" s="24"/>
      <c r="F186" s="22"/>
      <c r="G186" s="23"/>
      <c r="H186" s="24"/>
      <c r="J186" s="18" t="str">
        <f aca="false">IF(F186="","",F186*G186)</f>
        <v/>
      </c>
      <c r="K186" s="5" t="str">
        <f aca="false">IF(A186="","",IF(H186&lt;&gt;"",Assumptions!$D$5-H186,IF(C186="","",Assumptions!$D$5-(C186+Assumptions!$B$8))))</f>
        <v/>
      </c>
      <c r="L186" s="5" t="str">
        <f aca="false">IF(K186="","",IF(K186&lt;0,"Phase 1 (unliquidated)",IF(K186&lt;=Assumptions!$B$7,"Phase 1 (recently liquidated)",IF(K186&lt;=Assumptions!$B$6,"Protest required","Deadline passed — litigation only"))))</f>
        <v/>
      </c>
      <c r="M186" s="20" t="str">
        <f aca="false">IF(K186="","",IF(H186&lt;&gt;"",H186+Assumptions!$B$6,C186+Assumptions!$B$8+Assumptions!$B$6))</f>
        <v/>
      </c>
      <c r="N186" s="20" t="str">
        <f aca="false">IF(K186="","",IF(K186&lt;0,IF(H186&lt;&gt;"",H186+Assumptions!$B$7,C186+Assumptions!$B$8+Assumptions!$B$7),M186))</f>
        <v/>
      </c>
      <c r="O186" s="21" t="str">
        <f aca="false">IF(N186="","",N186-Assumptions!$D$5)</f>
        <v/>
      </c>
      <c r="P186" s="22"/>
      <c r="Q186" s="22"/>
      <c r="R186" s="18" t="str">
        <f aca="false">IF(Q186="","",Q186*IF(LEFT(L186,7)="Phase 1",Assumptions!$B$11,Assumptions!$B$12))</f>
        <v/>
      </c>
    </row>
    <row r="187" customFormat="false" ht="15" hidden="false" customHeight="true" outlineLevel="0" collapsed="false">
      <c r="C187" s="24"/>
      <c r="F187" s="22"/>
      <c r="G187" s="23"/>
      <c r="H187" s="24"/>
      <c r="J187" s="18" t="str">
        <f aca="false">IF(F187="","",F187*G187)</f>
        <v/>
      </c>
      <c r="K187" s="5" t="str">
        <f aca="false">IF(A187="","",IF(H187&lt;&gt;"",Assumptions!$D$5-H187,IF(C187="","",Assumptions!$D$5-(C187+Assumptions!$B$8))))</f>
        <v/>
      </c>
      <c r="L187" s="5" t="str">
        <f aca="false">IF(K187="","",IF(K187&lt;0,"Phase 1 (unliquidated)",IF(K187&lt;=Assumptions!$B$7,"Phase 1 (recently liquidated)",IF(K187&lt;=Assumptions!$B$6,"Protest required","Deadline passed — litigation only"))))</f>
        <v/>
      </c>
      <c r="M187" s="20" t="str">
        <f aca="false">IF(K187="","",IF(H187&lt;&gt;"",H187+Assumptions!$B$6,C187+Assumptions!$B$8+Assumptions!$B$6))</f>
        <v/>
      </c>
      <c r="N187" s="20" t="str">
        <f aca="false">IF(K187="","",IF(K187&lt;0,IF(H187&lt;&gt;"",H187+Assumptions!$B$7,C187+Assumptions!$B$8+Assumptions!$B$7),M187))</f>
        <v/>
      </c>
      <c r="O187" s="21" t="str">
        <f aca="false">IF(N187="","",N187-Assumptions!$D$5)</f>
        <v/>
      </c>
      <c r="P187" s="22"/>
      <c r="Q187" s="22"/>
      <c r="R187" s="18" t="str">
        <f aca="false">IF(Q187="","",Q187*IF(LEFT(L187,7)="Phase 1",Assumptions!$B$11,Assumptions!$B$12))</f>
        <v/>
      </c>
    </row>
    <row r="188" customFormat="false" ht="15" hidden="false" customHeight="true" outlineLevel="0" collapsed="false">
      <c r="C188" s="24"/>
      <c r="F188" s="22"/>
      <c r="G188" s="23"/>
      <c r="H188" s="24"/>
      <c r="J188" s="18" t="str">
        <f aca="false">IF(F188="","",F188*G188)</f>
        <v/>
      </c>
      <c r="K188" s="5" t="str">
        <f aca="false">IF(A188="","",IF(H188&lt;&gt;"",Assumptions!$D$5-H188,IF(C188="","",Assumptions!$D$5-(C188+Assumptions!$B$8))))</f>
        <v/>
      </c>
      <c r="L188" s="5" t="str">
        <f aca="false">IF(K188="","",IF(K188&lt;0,"Phase 1 (unliquidated)",IF(K188&lt;=Assumptions!$B$7,"Phase 1 (recently liquidated)",IF(K188&lt;=Assumptions!$B$6,"Protest required","Deadline passed — litigation only"))))</f>
        <v/>
      </c>
      <c r="M188" s="20" t="str">
        <f aca="false">IF(K188="","",IF(H188&lt;&gt;"",H188+Assumptions!$B$6,C188+Assumptions!$B$8+Assumptions!$B$6))</f>
        <v/>
      </c>
      <c r="N188" s="20" t="str">
        <f aca="false">IF(K188="","",IF(K188&lt;0,IF(H188&lt;&gt;"",H188+Assumptions!$B$7,C188+Assumptions!$B$8+Assumptions!$B$7),M188))</f>
        <v/>
      </c>
      <c r="O188" s="21" t="str">
        <f aca="false">IF(N188="","",N188-Assumptions!$D$5)</f>
        <v/>
      </c>
      <c r="P188" s="22"/>
      <c r="Q188" s="22"/>
      <c r="R188" s="18" t="str">
        <f aca="false">IF(Q188="","",Q188*IF(LEFT(L188,7)="Phase 1",Assumptions!$B$11,Assumptions!$B$12))</f>
        <v/>
      </c>
    </row>
    <row r="189" customFormat="false" ht="15" hidden="false" customHeight="true" outlineLevel="0" collapsed="false">
      <c r="C189" s="24"/>
      <c r="F189" s="22"/>
      <c r="G189" s="23"/>
      <c r="H189" s="24"/>
      <c r="J189" s="18" t="str">
        <f aca="false">IF(F189="","",F189*G189)</f>
        <v/>
      </c>
      <c r="K189" s="5" t="str">
        <f aca="false">IF(A189="","",IF(H189&lt;&gt;"",Assumptions!$D$5-H189,IF(C189="","",Assumptions!$D$5-(C189+Assumptions!$B$8))))</f>
        <v/>
      </c>
      <c r="L189" s="5" t="str">
        <f aca="false">IF(K189="","",IF(K189&lt;0,"Phase 1 (unliquidated)",IF(K189&lt;=Assumptions!$B$7,"Phase 1 (recently liquidated)",IF(K189&lt;=Assumptions!$B$6,"Protest required","Deadline passed — litigation only"))))</f>
        <v/>
      </c>
      <c r="M189" s="20" t="str">
        <f aca="false">IF(K189="","",IF(H189&lt;&gt;"",H189+Assumptions!$B$6,C189+Assumptions!$B$8+Assumptions!$B$6))</f>
        <v/>
      </c>
      <c r="N189" s="20" t="str">
        <f aca="false">IF(K189="","",IF(K189&lt;0,IF(H189&lt;&gt;"",H189+Assumptions!$B$7,C189+Assumptions!$B$8+Assumptions!$B$7),M189))</f>
        <v/>
      </c>
      <c r="O189" s="21" t="str">
        <f aca="false">IF(N189="","",N189-Assumptions!$D$5)</f>
        <v/>
      </c>
      <c r="P189" s="22"/>
      <c r="Q189" s="22"/>
      <c r="R189" s="18" t="str">
        <f aca="false">IF(Q189="","",Q189*IF(LEFT(L189,7)="Phase 1",Assumptions!$B$11,Assumptions!$B$12))</f>
        <v/>
      </c>
    </row>
    <row r="190" customFormat="false" ht="15" hidden="false" customHeight="true" outlineLevel="0" collapsed="false">
      <c r="C190" s="24"/>
      <c r="F190" s="22"/>
      <c r="G190" s="23"/>
      <c r="H190" s="24"/>
      <c r="J190" s="18" t="str">
        <f aca="false">IF(F190="","",F190*G190)</f>
        <v/>
      </c>
      <c r="K190" s="5" t="str">
        <f aca="false">IF(A190="","",IF(H190&lt;&gt;"",Assumptions!$D$5-H190,IF(C190="","",Assumptions!$D$5-(C190+Assumptions!$B$8))))</f>
        <v/>
      </c>
      <c r="L190" s="5" t="str">
        <f aca="false">IF(K190="","",IF(K190&lt;0,"Phase 1 (unliquidated)",IF(K190&lt;=Assumptions!$B$7,"Phase 1 (recently liquidated)",IF(K190&lt;=Assumptions!$B$6,"Protest required","Deadline passed — litigation only"))))</f>
        <v/>
      </c>
      <c r="M190" s="20" t="str">
        <f aca="false">IF(K190="","",IF(H190&lt;&gt;"",H190+Assumptions!$B$6,C190+Assumptions!$B$8+Assumptions!$B$6))</f>
        <v/>
      </c>
      <c r="N190" s="20" t="str">
        <f aca="false">IF(K190="","",IF(K190&lt;0,IF(H190&lt;&gt;"",H190+Assumptions!$B$7,C190+Assumptions!$B$8+Assumptions!$B$7),M190))</f>
        <v/>
      </c>
      <c r="O190" s="21" t="str">
        <f aca="false">IF(N190="","",N190-Assumptions!$D$5)</f>
        <v/>
      </c>
      <c r="P190" s="22"/>
      <c r="Q190" s="22"/>
      <c r="R190" s="18" t="str">
        <f aca="false">IF(Q190="","",Q190*IF(LEFT(L190,7)="Phase 1",Assumptions!$B$11,Assumptions!$B$12))</f>
        <v/>
      </c>
    </row>
    <row r="191" customFormat="false" ht="15" hidden="false" customHeight="true" outlineLevel="0" collapsed="false">
      <c r="C191" s="24"/>
      <c r="F191" s="22"/>
      <c r="G191" s="23"/>
      <c r="H191" s="24"/>
      <c r="J191" s="18" t="str">
        <f aca="false">IF(F191="","",F191*G191)</f>
        <v/>
      </c>
      <c r="K191" s="5" t="str">
        <f aca="false">IF(A191="","",IF(H191&lt;&gt;"",Assumptions!$D$5-H191,IF(C191="","",Assumptions!$D$5-(C191+Assumptions!$B$8))))</f>
        <v/>
      </c>
      <c r="L191" s="5" t="str">
        <f aca="false">IF(K191="","",IF(K191&lt;0,"Phase 1 (unliquidated)",IF(K191&lt;=Assumptions!$B$7,"Phase 1 (recently liquidated)",IF(K191&lt;=Assumptions!$B$6,"Protest required","Deadline passed — litigation only"))))</f>
        <v/>
      </c>
      <c r="M191" s="20" t="str">
        <f aca="false">IF(K191="","",IF(H191&lt;&gt;"",H191+Assumptions!$B$6,C191+Assumptions!$B$8+Assumptions!$B$6))</f>
        <v/>
      </c>
      <c r="N191" s="20" t="str">
        <f aca="false">IF(K191="","",IF(K191&lt;0,IF(H191&lt;&gt;"",H191+Assumptions!$B$7,C191+Assumptions!$B$8+Assumptions!$B$7),M191))</f>
        <v/>
      </c>
      <c r="O191" s="21" t="str">
        <f aca="false">IF(N191="","",N191-Assumptions!$D$5)</f>
        <v/>
      </c>
      <c r="P191" s="22"/>
      <c r="Q191" s="22"/>
      <c r="R191" s="18" t="str">
        <f aca="false">IF(Q191="","",Q191*IF(LEFT(L191,7)="Phase 1",Assumptions!$B$11,Assumptions!$B$12))</f>
        <v/>
      </c>
    </row>
    <row r="192" customFormat="false" ht="15" hidden="false" customHeight="true" outlineLevel="0" collapsed="false">
      <c r="C192" s="24"/>
      <c r="F192" s="22"/>
      <c r="G192" s="23"/>
      <c r="H192" s="24"/>
      <c r="J192" s="18" t="str">
        <f aca="false">IF(F192="","",F192*G192)</f>
        <v/>
      </c>
      <c r="K192" s="5" t="str">
        <f aca="false">IF(A192="","",IF(H192&lt;&gt;"",Assumptions!$D$5-H192,IF(C192="","",Assumptions!$D$5-(C192+Assumptions!$B$8))))</f>
        <v/>
      </c>
      <c r="L192" s="5" t="str">
        <f aca="false">IF(K192="","",IF(K192&lt;0,"Phase 1 (unliquidated)",IF(K192&lt;=Assumptions!$B$7,"Phase 1 (recently liquidated)",IF(K192&lt;=Assumptions!$B$6,"Protest required","Deadline passed — litigation only"))))</f>
        <v/>
      </c>
      <c r="M192" s="20" t="str">
        <f aca="false">IF(K192="","",IF(H192&lt;&gt;"",H192+Assumptions!$B$6,C192+Assumptions!$B$8+Assumptions!$B$6))</f>
        <v/>
      </c>
      <c r="N192" s="20" t="str">
        <f aca="false">IF(K192="","",IF(K192&lt;0,IF(H192&lt;&gt;"",H192+Assumptions!$B$7,C192+Assumptions!$B$8+Assumptions!$B$7),M192))</f>
        <v/>
      </c>
      <c r="O192" s="21" t="str">
        <f aca="false">IF(N192="","",N192-Assumptions!$D$5)</f>
        <v/>
      </c>
      <c r="P192" s="22"/>
      <c r="Q192" s="22"/>
      <c r="R192" s="18" t="str">
        <f aca="false">IF(Q192="","",Q192*IF(LEFT(L192,7)="Phase 1",Assumptions!$B$11,Assumptions!$B$12))</f>
        <v/>
      </c>
    </row>
    <row r="193" customFormat="false" ht="15" hidden="false" customHeight="true" outlineLevel="0" collapsed="false">
      <c r="C193" s="24"/>
      <c r="F193" s="22"/>
      <c r="G193" s="23"/>
      <c r="H193" s="24"/>
      <c r="J193" s="18" t="str">
        <f aca="false">IF(F193="","",F193*G193)</f>
        <v/>
      </c>
      <c r="K193" s="5" t="str">
        <f aca="false">IF(A193="","",IF(H193&lt;&gt;"",Assumptions!$D$5-H193,IF(C193="","",Assumptions!$D$5-(C193+Assumptions!$B$8))))</f>
        <v/>
      </c>
      <c r="L193" s="5" t="str">
        <f aca="false">IF(K193="","",IF(K193&lt;0,"Phase 1 (unliquidated)",IF(K193&lt;=Assumptions!$B$7,"Phase 1 (recently liquidated)",IF(K193&lt;=Assumptions!$B$6,"Protest required","Deadline passed — litigation only"))))</f>
        <v/>
      </c>
      <c r="M193" s="20" t="str">
        <f aca="false">IF(K193="","",IF(H193&lt;&gt;"",H193+Assumptions!$B$6,C193+Assumptions!$B$8+Assumptions!$B$6))</f>
        <v/>
      </c>
      <c r="N193" s="20" t="str">
        <f aca="false">IF(K193="","",IF(K193&lt;0,IF(H193&lt;&gt;"",H193+Assumptions!$B$7,C193+Assumptions!$B$8+Assumptions!$B$7),M193))</f>
        <v/>
      </c>
      <c r="O193" s="21" t="str">
        <f aca="false">IF(N193="","",N193-Assumptions!$D$5)</f>
        <v/>
      </c>
      <c r="P193" s="22"/>
      <c r="Q193" s="22"/>
      <c r="R193" s="18" t="str">
        <f aca="false">IF(Q193="","",Q193*IF(LEFT(L193,7)="Phase 1",Assumptions!$B$11,Assumptions!$B$12))</f>
        <v/>
      </c>
    </row>
    <row r="194" customFormat="false" ht="15" hidden="false" customHeight="true" outlineLevel="0" collapsed="false">
      <c r="C194" s="24"/>
      <c r="F194" s="22"/>
      <c r="G194" s="23"/>
      <c r="H194" s="24"/>
      <c r="J194" s="18" t="str">
        <f aca="false">IF(F194="","",F194*G194)</f>
        <v/>
      </c>
      <c r="K194" s="5" t="str">
        <f aca="false">IF(A194="","",IF(H194&lt;&gt;"",Assumptions!$D$5-H194,IF(C194="","",Assumptions!$D$5-(C194+Assumptions!$B$8))))</f>
        <v/>
      </c>
      <c r="L194" s="5" t="str">
        <f aca="false">IF(K194="","",IF(K194&lt;0,"Phase 1 (unliquidated)",IF(K194&lt;=Assumptions!$B$7,"Phase 1 (recently liquidated)",IF(K194&lt;=Assumptions!$B$6,"Protest required","Deadline passed — litigation only"))))</f>
        <v/>
      </c>
      <c r="M194" s="20" t="str">
        <f aca="false">IF(K194="","",IF(H194&lt;&gt;"",H194+Assumptions!$B$6,C194+Assumptions!$B$8+Assumptions!$B$6))</f>
        <v/>
      </c>
      <c r="N194" s="20" t="str">
        <f aca="false">IF(K194="","",IF(K194&lt;0,IF(H194&lt;&gt;"",H194+Assumptions!$B$7,C194+Assumptions!$B$8+Assumptions!$B$7),M194))</f>
        <v/>
      </c>
      <c r="O194" s="21" t="str">
        <f aca="false">IF(N194="","",N194-Assumptions!$D$5)</f>
        <v/>
      </c>
      <c r="P194" s="22"/>
      <c r="Q194" s="22"/>
      <c r="R194" s="18" t="str">
        <f aca="false">IF(Q194="","",Q194*IF(LEFT(L194,7)="Phase 1",Assumptions!$B$11,Assumptions!$B$12))</f>
        <v/>
      </c>
    </row>
    <row r="195" customFormat="false" ht="15" hidden="false" customHeight="true" outlineLevel="0" collapsed="false">
      <c r="C195" s="24"/>
      <c r="F195" s="22"/>
      <c r="G195" s="23"/>
      <c r="H195" s="24"/>
      <c r="J195" s="18" t="str">
        <f aca="false">IF(F195="","",F195*G195)</f>
        <v/>
      </c>
      <c r="K195" s="5" t="str">
        <f aca="false">IF(A195="","",IF(H195&lt;&gt;"",Assumptions!$D$5-H195,IF(C195="","",Assumptions!$D$5-(C195+Assumptions!$B$8))))</f>
        <v/>
      </c>
      <c r="L195" s="5" t="str">
        <f aca="false">IF(K195="","",IF(K195&lt;0,"Phase 1 (unliquidated)",IF(K195&lt;=Assumptions!$B$7,"Phase 1 (recently liquidated)",IF(K195&lt;=Assumptions!$B$6,"Protest required","Deadline passed — litigation only"))))</f>
        <v/>
      </c>
      <c r="M195" s="20" t="str">
        <f aca="false">IF(K195="","",IF(H195&lt;&gt;"",H195+Assumptions!$B$6,C195+Assumptions!$B$8+Assumptions!$B$6))</f>
        <v/>
      </c>
      <c r="N195" s="20" t="str">
        <f aca="false">IF(K195="","",IF(K195&lt;0,IF(H195&lt;&gt;"",H195+Assumptions!$B$7,C195+Assumptions!$B$8+Assumptions!$B$7),M195))</f>
        <v/>
      </c>
      <c r="O195" s="21" t="str">
        <f aca="false">IF(N195="","",N195-Assumptions!$D$5)</f>
        <v/>
      </c>
      <c r="P195" s="22"/>
      <c r="Q195" s="22"/>
      <c r="R195" s="18" t="str">
        <f aca="false">IF(Q195="","",Q195*IF(LEFT(L195,7)="Phase 1",Assumptions!$B$11,Assumptions!$B$12))</f>
        <v/>
      </c>
    </row>
    <row r="196" customFormat="false" ht="15" hidden="false" customHeight="true" outlineLevel="0" collapsed="false">
      <c r="C196" s="24"/>
      <c r="F196" s="22"/>
      <c r="G196" s="23"/>
      <c r="H196" s="24"/>
      <c r="J196" s="18" t="str">
        <f aca="false">IF(F196="","",F196*G196)</f>
        <v/>
      </c>
      <c r="K196" s="5" t="str">
        <f aca="false">IF(A196="","",IF(H196&lt;&gt;"",Assumptions!$D$5-H196,IF(C196="","",Assumptions!$D$5-(C196+Assumptions!$B$8))))</f>
        <v/>
      </c>
      <c r="L196" s="5" t="str">
        <f aca="false">IF(K196="","",IF(K196&lt;0,"Phase 1 (unliquidated)",IF(K196&lt;=Assumptions!$B$7,"Phase 1 (recently liquidated)",IF(K196&lt;=Assumptions!$B$6,"Protest required","Deadline passed — litigation only"))))</f>
        <v/>
      </c>
      <c r="M196" s="20" t="str">
        <f aca="false">IF(K196="","",IF(H196&lt;&gt;"",H196+Assumptions!$B$6,C196+Assumptions!$B$8+Assumptions!$B$6))</f>
        <v/>
      </c>
      <c r="N196" s="20" t="str">
        <f aca="false">IF(K196="","",IF(K196&lt;0,IF(H196&lt;&gt;"",H196+Assumptions!$B$7,C196+Assumptions!$B$8+Assumptions!$B$7),M196))</f>
        <v/>
      </c>
      <c r="O196" s="21" t="str">
        <f aca="false">IF(N196="","",N196-Assumptions!$D$5)</f>
        <v/>
      </c>
      <c r="P196" s="22"/>
      <c r="Q196" s="22"/>
      <c r="R196" s="18" t="str">
        <f aca="false">IF(Q196="","",Q196*IF(LEFT(L196,7)="Phase 1",Assumptions!$B$11,Assumptions!$B$12))</f>
        <v/>
      </c>
    </row>
    <row r="197" customFormat="false" ht="15" hidden="false" customHeight="true" outlineLevel="0" collapsed="false">
      <c r="C197" s="24"/>
      <c r="F197" s="22"/>
      <c r="G197" s="23"/>
      <c r="H197" s="24"/>
      <c r="J197" s="18" t="str">
        <f aca="false">IF(F197="","",F197*G197)</f>
        <v/>
      </c>
      <c r="K197" s="5" t="str">
        <f aca="false">IF(A197="","",IF(H197&lt;&gt;"",Assumptions!$D$5-H197,IF(C197="","",Assumptions!$D$5-(C197+Assumptions!$B$8))))</f>
        <v/>
      </c>
      <c r="L197" s="5" t="str">
        <f aca="false">IF(K197="","",IF(K197&lt;0,"Phase 1 (unliquidated)",IF(K197&lt;=Assumptions!$B$7,"Phase 1 (recently liquidated)",IF(K197&lt;=Assumptions!$B$6,"Protest required","Deadline passed — litigation only"))))</f>
        <v/>
      </c>
      <c r="M197" s="20" t="str">
        <f aca="false">IF(K197="","",IF(H197&lt;&gt;"",H197+Assumptions!$B$6,C197+Assumptions!$B$8+Assumptions!$B$6))</f>
        <v/>
      </c>
      <c r="N197" s="20" t="str">
        <f aca="false">IF(K197="","",IF(K197&lt;0,IF(H197&lt;&gt;"",H197+Assumptions!$B$7,C197+Assumptions!$B$8+Assumptions!$B$7),M197))</f>
        <v/>
      </c>
      <c r="O197" s="21" t="str">
        <f aca="false">IF(N197="","",N197-Assumptions!$D$5)</f>
        <v/>
      </c>
      <c r="P197" s="22"/>
      <c r="Q197" s="22"/>
      <c r="R197" s="18" t="str">
        <f aca="false">IF(Q197="","",Q197*IF(LEFT(L197,7)="Phase 1",Assumptions!$B$11,Assumptions!$B$12))</f>
        <v/>
      </c>
    </row>
    <row r="198" customFormat="false" ht="15" hidden="false" customHeight="true" outlineLevel="0" collapsed="false">
      <c r="C198" s="24"/>
      <c r="F198" s="22"/>
      <c r="G198" s="23"/>
      <c r="H198" s="24"/>
      <c r="J198" s="18" t="str">
        <f aca="false">IF(F198="","",F198*G198)</f>
        <v/>
      </c>
      <c r="K198" s="5" t="str">
        <f aca="false">IF(A198="","",IF(H198&lt;&gt;"",Assumptions!$D$5-H198,IF(C198="","",Assumptions!$D$5-(C198+Assumptions!$B$8))))</f>
        <v/>
      </c>
      <c r="L198" s="5" t="str">
        <f aca="false">IF(K198="","",IF(K198&lt;0,"Phase 1 (unliquidated)",IF(K198&lt;=Assumptions!$B$7,"Phase 1 (recently liquidated)",IF(K198&lt;=Assumptions!$B$6,"Protest required","Deadline passed — litigation only"))))</f>
        <v/>
      </c>
      <c r="M198" s="20" t="str">
        <f aca="false">IF(K198="","",IF(H198&lt;&gt;"",H198+Assumptions!$B$6,C198+Assumptions!$B$8+Assumptions!$B$6))</f>
        <v/>
      </c>
      <c r="N198" s="20" t="str">
        <f aca="false">IF(K198="","",IF(K198&lt;0,IF(H198&lt;&gt;"",H198+Assumptions!$B$7,C198+Assumptions!$B$8+Assumptions!$B$7),M198))</f>
        <v/>
      </c>
      <c r="O198" s="21" t="str">
        <f aca="false">IF(N198="","",N198-Assumptions!$D$5)</f>
        <v/>
      </c>
      <c r="P198" s="22"/>
      <c r="Q198" s="22"/>
      <c r="R198" s="18" t="str">
        <f aca="false">IF(Q198="","",Q198*IF(LEFT(L198,7)="Phase 1",Assumptions!$B$11,Assumptions!$B$12))</f>
        <v/>
      </c>
    </row>
    <row r="199" customFormat="false" ht="15" hidden="false" customHeight="true" outlineLevel="0" collapsed="false">
      <c r="C199" s="24"/>
      <c r="F199" s="22"/>
      <c r="G199" s="23"/>
      <c r="H199" s="24"/>
      <c r="J199" s="18" t="str">
        <f aca="false">IF(F199="","",F199*G199)</f>
        <v/>
      </c>
      <c r="K199" s="5" t="str">
        <f aca="false">IF(A199="","",IF(H199&lt;&gt;"",Assumptions!$D$5-H199,IF(C199="","",Assumptions!$D$5-(C199+Assumptions!$B$8))))</f>
        <v/>
      </c>
      <c r="L199" s="5" t="str">
        <f aca="false">IF(K199="","",IF(K199&lt;0,"Phase 1 (unliquidated)",IF(K199&lt;=Assumptions!$B$7,"Phase 1 (recently liquidated)",IF(K199&lt;=Assumptions!$B$6,"Protest required","Deadline passed — litigation only"))))</f>
        <v/>
      </c>
      <c r="M199" s="20" t="str">
        <f aca="false">IF(K199="","",IF(H199&lt;&gt;"",H199+Assumptions!$B$6,C199+Assumptions!$B$8+Assumptions!$B$6))</f>
        <v/>
      </c>
      <c r="N199" s="20" t="str">
        <f aca="false">IF(K199="","",IF(K199&lt;0,IF(H199&lt;&gt;"",H199+Assumptions!$B$7,C199+Assumptions!$B$8+Assumptions!$B$7),M199))</f>
        <v/>
      </c>
      <c r="O199" s="21" t="str">
        <f aca="false">IF(N199="","",N199-Assumptions!$D$5)</f>
        <v/>
      </c>
      <c r="P199" s="22"/>
      <c r="Q199" s="22"/>
      <c r="R199" s="18" t="str">
        <f aca="false">IF(Q199="","",Q199*IF(LEFT(L199,7)="Phase 1",Assumptions!$B$11,Assumptions!$B$12))</f>
        <v/>
      </c>
    </row>
    <row r="200" customFormat="false" ht="15" hidden="false" customHeight="true" outlineLevel="0" collapsed="false">
      <c r="C200" s="24"/>
      <c r="F200" s="22"/>
      <c r="G200" s="23"/>
      <c r="H200" s="24"/>
      <c r="J200" s="18" t="str">
        <f aca="false">IF(F200="","",F200*G200)</f>
        <v/>
      </c>
      <c r="K200" s="5" t="str">
        <f aca="false">IF(A200="","",IF(H200&lt;&gt;"",Assumptions!$D$5-H200,IF(C200="","",Assumptions!$D$5-(C200+Assumptions!$B$8))))</f>
        <v/>
      </c>
      <c r="L200" s="5" t="str">
        <f aca="false">IF(K200="","",IF(K200&lt;0,"Phase 1 (unliquidated)",IF(K200&lt;=Assumptions!$B$7,"Phase 1 (recently liquidated)",IF(K200&lt;=Assumptions!$B$6,"Protest required","Deadline passed — litigation only"))))</f>
        <v/>
      </c>
      <c r="M200" s="20" t="str">
        <f aca="false">IF(K200="","",IF(H200&lt;&gt;"",H200+Assumptions!$B$6,C200+Assumptions!$B$8+Assumptions!$B$6))</f>
        <v/>
      </c>
      <c r="N200" s="20" t="str">
        <f aca="false">IF(K200="","",IF(K200&lt;0,IF(H200&lt;&gt;"",H200+Assumptions!$B$7,C200+Assumptions!$B$8+Assumptions!$B$7),M200))</f>
        <v/>
      </c>
      <c r="O200" s="21" t="str">
        <f aca="false">IF(N200="","",N200-Assumptions!$D$5)</f>
        <v/>
      </c>
      <c r="P200" s="22"/>
      <c r="Q200" s="22"/>
      <c r="R200" s="18" t="str">
        <f aca="false">IF(Q200="","",Q200*IF(LEFT(L200,7)="Phase 1",Assumptions!$B$11,Assumptions!$B$12))</f>
        <v/>
      </c>
    </row>
    <row r="201" customFormat="false" ht="15" hidden="false" customHeight="true" outlineLevel="0" collapsed="false">
      <c r="C201" s="24"/>
      <c r="F201" s="22"/>
      <c r="G201" s="23"/>
      <c r="H201" s="24"/>
      <c r="J201" s="18" t="str">
        <f aca="false">IF(F201="","",F201*G201)</f>
        <v/>
      </c>
      <c r="K201" s="5" t="str">
        <f aca="false">IF(A201="","",IF(H201&lt;&gt;"",Assumptions!$D$5-H201,IF(C201="","",Assumptions!$D$5-(C201+Assumptions!$B$8))))</f>
        <v/>
      </c>
      <c r="L201" s="5" t="str">
        <f aca="false">IF(K201="","",IF(K201&lt;0,"Phase 1 (unliquidated)",IF(K201&lt;=Assumptions!$B$7,"Phase 1 (recently liquidated)",IF(K201&lt;=Assumptions!$B$6,"Protest required","Deadline passed — litigation only"))))</f>
        <v/>
      </c>
      <c r="M201" s="20" t="str">
        <f aca="false">IF(K201="","",IF(H201&lt;&gt;"",H201+Assumptions!$B$6,C201+Assumptions!$B$8+Assumptions!$B$6))</f>
        <v/>
      </c>
      <c r="N201" s="20" t="str">
        <f aca="false">IF(K201="","",IF(K201&lt;0,IF(H201&lt;&gt;"",H201+Assumptions!$B$7,C201+Assumptions!$B$8+Assumptions!$B$7),M201))</f>
        <v/>
      </c>
      <c r="O201" s="21" t="str">
        <f aca="false">IF(N201="","",N201-Assumptions!$D$5)</f>
        <v/>
      </c>
      <c r="P201" s="22"/>
      <c r="Q201" s="22"/>
      <c r="R201" s="18" t="str">
        <f aca="false">IF(Q201="","",Q201*IF(LEFT(L201,7)="Phase 1",Assumptions!$B$11,Assumptions!$B$12))</f>
        <v/>
      </c>
    </row>
    <row r="202" customFormat="false" ht="15" hidden="false" customHeight="true" outlineLevel="0" collapsed="false">
      <c r="C202" s="24"/>
      <c r="F202" s="22"/>
      <c r="G202" s="23"/>
      <c r="H202" s="24"/>
      <c r="J202" s="18" t="str">
        <f aca="false">IF(F202="","",F202*G202)</f>
        <v/>
      </c>
      <c r="K202" s="5" t="str">
        <f aca="false">IF(A202="","",IF(H202&lt;&gt;"",Assumptions!$D$5-H202,IF(C202="","",Assumptions!$D$5-(C202+Assumptions!$B$8))))</f>
        <v/>
      </c>
      <c r="L202" s="5" t="str">
        <f aca="false">IF(K202="","",IF(K202&lt;0,"Phase 1 (unliquidated)",IF(K202&lt;=Assumptions!$B$7,"Phase 1 (recently liquidated)",IF(K202&lt;=Assumptions!$B$6,"Protest required","Deadline passed — litigation only"))))</f>
        <v/>
      </c>
      <c r="M202" s="20" t="str">
        <f aca="false">IF(K202="","",IF(H202&lt;&gt;"",H202+Assumptions!$B$6,C202+Assumptions!$B$8+Assumptions!$B$6))</f>
        <v/>
      </c>
      <c r="N202" s="20" t="str">
        <f aca="false">IF(K202="","",IF(K202&lt;0,IF(H202&lt;&gt;"",H202+Assumptions!$B$7,C202+Assumptions!$B$8+Assumptions!$B$7),M202))</f>
        <v/>
      </c>
      <c r="O202" s="21" t="str">
        <f aca="false">IF(N202="","",N202-Assumptions!$D$5)</f>
        <v/>
      </c>
      <c r="P202" s="22"/>
      <c r="Q202" s="22"/>
      <c r="R202" s="18" t="str">
        <f aca="false">IF(Q202="","",Q202*IF(LEFT(L202,7)="Phase 1",Assumptions!$B$11,Assumptions!$B$12))</f>
        <v/>
      </c>
    </row>
    <row r="203" customFormat="false" ht="15" hidden="false" customHeight="true" outlineLevel="0" collapsed="false">
      <c r="C203" s="24"/>
      <c r="F203" s="22"/>
      <c r="G203" s="23"/>
      <c r="H203" s="24"/>
      <c r="J203" s="18" t="str">
        <f aca="false">IF(F203="","",F203*G203)</f>
        <v/>
      </c>
      <c r="K203" s="5" t="str">
        <f aca="false">IF(A203="","",IF(H203&lt;&gt;"",Assumptions!$D$5-H203,IF(C203="","",Assumptions!$D$5-(C203+Assumptions!$B$8))))</f>
        <v/>
      </c>
      <c r="L203" s="5" t="str">
        <f aca="false">IF(K203="","",IF(K203&lt;0,"Phase 1 (unliquidated)",IF(K203&lt;=Assumptions!$B$7,"Phase 1 (recently liquidated)",IF(K203&lt;=Assumptions!$B$6,"Protest required","Deadline passed — litigation only"))))</f>
        <v/>
      </c>
      <c r="M203" s="20" t="str">
        <f aca="false">IF(K203="","",IF(H203&lt;&gt;"",H203+Assumptions!$B$6,C203+Assumptions!$B$8+Assumptions!$B$6))</f>
        <v/>
      </c>
      <c r="N203" s="20" t="str">
        <f aca="false">IF(K203="","",IF(K203&lt;0,IF(H203&lt;&gt;"",H203+Assumptions!$B$7,C203+Assumptions!$B$8+Assumptions!$B$7),M203))</f>
        <v/>
      </c>
      <c r="O203" s="21" t="str">
        <f aca="false">IF(N203="","",N203-Assumptions!$D$5)</f>
        <v/>
      </c>
      <c r="P203" s="22"/>
      <c r="Q203" s="22"/>
      <c r="R203" s="18" t="str">
        <f aca="false">IF(Q203="","",Q203*IF(LEFT(L203,7)="Phase 1",Assumptions!$B$11,Assumptions!$B$12))</f>
        <v/>
      </c>
    </row>
    <row r="204" customFormat="false" ht="15" hidden="false" customHeight="true" outlineLevel="0" collapsed="false">
      <c r="C204" s="24"/>
      <c r="F204" s="22"/>
      <c r="G204" s="23"/>
      <c r="H204" s="24"/>
      <c r="J204" s="18" t="str">
        <f aca="false">IF(F204="","",F204*G204)</f>
        <v/>
      </c>
      <c r="K204" s="5" t="str">
        <f aca="false">IF(A204="","",IF(H204&lt;&gt;"",Assumptions!$D$5-H204,IF(C204="","",Assumptions!$D$5-(C204+Assumptions!$B$8))))</f>
        <v/>
      </c>
      <c r="L204" s="5" t="str">
        <f aca="false">IF(K204="","",IF(K204&lt;0,"Phase 1 (unliquidated)",IF(K204&lt;=Assumptions!$B$7,"Phase 1 (recently liquidated)",IF(K204&lt;=Assumptions!$B$6,"Protest required","Deadline passed — litigation only"))))</f>
        <v/>
      </c>
      <c r="M204" s="20" t="str">
        <f aca="false">IF(K204="","",IF(H204&lt;&gt;"",H204+Assumptions!$B$6,C204+Assumptions!$B$8+Assumptions!$B$6))</f>
        <v/>
      </c>
      <c r="N204" s="20" t="str">
        <f aca="false">IF(K204="","",IF(K204&lt;0,IF(H204&lt;&gt;"",H204+Assumptions!$B$7,C204+Assumptions!$B$8+Assumptions!$B$7),M204))</f>
        <v/>
      </c>
      <c r="O204" s="21" t="str">
        <f aca="false">IF(N204="","",N204-Assumptions!$D$5)</f>
        <v/>
      </c>
      <c r="P204" s="22"/>
      <c r="Q204" s="22"/>
      <c r="R204" s="18" t="str">
        <f aca="false">IF(Q204="","",Q204*IF(LEFT(L204,7)="Phase 1",Assumptions!$B$11,Assumptions!$B$12))</f>
        <v/>
      </c>
    </row>
    <row r="205" customFormat="false" ht="15" hidden="false" customHeight="true" outlineLevel="0" collapsed="false">
      <c r="C205" s="24"/>
      <c r="F205" s="22"/>
      <c r="G205" s="23"/>
      <c r="H205" s="24"/>
      <c r="J205" s="18" t="str">
        <f aca="false">IF(F205="","",F205*G205)</f>
        <v/>
      </c>
      <c r="K205" s="5" t="str">
        <f aca="false">IF(A205="","",IF(H205&lt;&gt;"",Assumptions!$D$5-H205,IF(C205="","",Assumptions!$D$5-(C205+Assumptions!$B$8))))</f>
        <v/>
      </c>
      <c r="L205" s="5" t="str">
        <f aca="false">IF(K205="","",IF(K205&lt;0,"Phase 1 (unliquidated)",IF(K205&lt;=Assumptions!$B$7,"Phase 1 (recently liquidated)",IF(K205&lt;=Assumptions!$B$6,"Protest required","Deadline passed — litigation only"))))</f>
        <v/>
      </c>
      <c r="M205" s="20" t="str">
        <f aca="false">IF(K205="","",IF(H205&lt;&gt;"",H205+Assumptions!$B$6,C205+Assumptions!$B$8+Assumptions!$B$6))</f>
        <v/>
      </c>
      <c r="N205" s="20" t="str">
        <f aca="false">IF(K205="","",IF(K205&lt;0,IF(H205&lt;&gt;"",H205+Assumptions!$B$7,C205+Assumptions!$B$8+Assumptions!$B$7),M205))</f>
        <v/>
      </c>
      <c r="O205" s="21" t="str">
        <f aca="false">IF(N205="","",N205-Assumptions!$D$5)</f>
        <v/>
      </c>
      <c r="P205" s="22"/>
      <c r="Q205" s="22"/>
      <c r="R205" s="18" t="str">
        <f aca="false">IF(Q205="","",Q205*IF(LEFT(L205,7)="Phase 1",Assumptions!$B$11,Assumptions!$B$12))</f>
        <v/>
      </c>
    </row>
    <row r="206" customFormat="false" ht="15" hidden="false" customHeight="true" outlineLevel="0" collapsed="false">
      <c r="C206" s="24"/>
      <c r="F206" s="22"/>
      <c r="G206" s="23"/>
      <c r="H206" s="24"/>
      <c r="J206" s="18" t="str">
        <f aca="false">IF(F206="","",F206*G206)</f>
        <v/>
      </c>
      <c r="K206" s="5" t="str">
        <f aca="false">IF(A206="","",IF(H206&lt;&gt;"",Assumptions!$D$5-H206,IF(C206="","",Assumptions!$D$5-(C206+Assumptions!$B$8))))</f>
        <v/>
      </c>
      <c r="L206" s="5" t="str">
        <f aca="false">IF(K206="","",IF(K206&lt;0,"Phase 1 (unliquidated)",IF(K206&lt;=Assumptions!$B$7,"Phase 1 (recently liquidated)",IF(K206&lt;=Assumptions!$B$6,"Protest required","Deadline passed — litigation only"))))</f>
        <v/>
      </c>
      <c r="M206" s="20" t="str">
        <f aca="false">IF(K206="","",IF(H206&lt;&gt;"",H206+Assumptions!$B$6,C206+Assumptions!$B$8+Assumptions!$B$6))</f>
        <v/>
      </c>
      <c r="N206" s="20" t="str">
        <f aca="false">IF(K206="","",IF(K206&lt;0,IF(H206&lt;&gt;"",H206+Assumptions!$B$7,C206+Assumptions!$B$8+Assumptions!$B$7),M206))</f>
        <v/>
      </c>
      <c r="O206" s="21" t="str">
        <f aca="false">IF(N206="","",N206-Assumptions!$D$5)</f>
        <v/>
      </c>
      <c r="P206" s="22"/>
      <c r="Q206" s="22"/>
      <c r="R206" s="18" t="str">
        <f aca="false">IF(Q206="","",Q206*IF(LEFT(L206,7)="Phase 1",Assumptions!$B$11,Assumptions!$B$12))</f>
        <v/>
      </c>
    </row>
    <row r="207" customFormat="false" ht="15" hidden="false" customHeight="true" outlineLevel="0" collapsed="false">
      <c r="C207" s="24"/>
      <c r="F207" s="22"/>
      <c r="G207" s="23"/>
      <c r="H207" s="24"/>
      <c r="J207" s="18" t="str">
        <f aca="false">IF(F207="","",F207*G207)</f>
        <v/>
      </c>
      <c r="K207" s="5" t="str">
        <f aca="false">IF(A207="","",IF(H207&lt;&gt;"",Assumptions!$D$5-H207,IF(C207="","",Assumptions!$D$5-(C207+Assumptions!$B$8))))</f>
        <v/>
      </c>
      <c r="L207" s="5" t="str">
        <f aca="false">IF(K207="","",IF(K207&lt;0,"Phase 1 (unliquidated)",IF(K207&lt;=Assumptions!$B$7,"Phase 1 (recently liquidated)",IF(K207&lt;=Assumptions!$B$6,"Protest required","Deadline passed — litigation only"))))</f>
        <v/>
      </c>
      <c r="M207" s="20" t="str">
        <f aca="false">IF(K207="","",IF(H207&lt;&gt;"",H207+Assumptions!$B$6,C207+Assumptions!$B$8+Assumptions!$B$6))</f>
        <v/>
      </c>
      <c r="N207" s="20" t="str">
        <f aca="false">IF(K207="","",IF(K207&lt;0,IF(H207&lt;&gt;"",H207+Assumptions!$B$7,C207+Assumptions!$B$8+Assumptions!$B$7),M207))</f>
        <v/>
      </c>
      <c r="O207" s="21" t="str">
        <f aca="false">IF(N207="","",N207-Assumptions!$D$5)</f>
        <v/>
      </c>
      <c r="P207" s="22"/>
      <c r="Q207" s="22"/>
      <c r="R207" s="18" t="str">
        <f aca="false">IF(Q207="","",Q207*IF(LEFT(L207,7)="Phase 1",Assumptions!$B$11,Assumptions!$B$12))</f>
        <v/>
      </c>
    </row>
    <row r="208" customFormat="false" ht="15" hidden="false" customHeight="true" outlineLevel="0" collapsed="false">
      <c r="C208" s="24"/>
      <c r="F208" s="22"/>
      <c r="G208" s="23"/>
      <c r="H208" s="24"/>
      <c r="J208" s="18" t="str">
        <f aca="false">IF(F208="","",F208*G208)</f>
        <v/>
      </c>
      <c r="K208" s="5" t="str">
        <f aca="false">IF(A208="","",IF(H208&lt;&gt;"",Assumptions!$D$5-H208,IF(C208="","",Assumptions!$D$5-(C208+Assumptions!$B$8))))</f>
        <v/>
      </c>
      <c r="L208" s="5" t="str">
        <f aca="false">IF(K208="","",IF(K208&lt;0,"Phase 1 (unliquidated)",IF(K208&lt;=Assumptions!$B$7,"Phase 1 (recently liquidated)",IF(K208&lt;=Assumptions!$B$6,"Protest required","Deadline passed — litigation only"))))</f>
        <v/>
      </c>
      <c r="M208" s="20" t="str">
        <f aca="false">IF(K208="","",IF(H208&lt;&gt;"",H208+Assumptions!$B$6,C208+Assumptions!$B$8+Assumptions!$B$6))</f>
        <v/>
      </c>
      <c r="N208" s="20" t="str">
        <f aca="false">IF(K208="","",IF(K208&lt;0,IF(H208&lt;&gt;"",H208+Assumptions!$B$7,C208+Assumptions!$B$8+Assumptions!$B$7),M208))</f>
        <v/>
      </c>
      <c r="O208" s="21" t="str">
        <f aca="false">IF(N208="","",N208-Assumptions!$D$5)</f>
        <v/>
      </c>
      <c r="P208" s="22"/>
      <c r="Q208" s="22"/>
      <c r="R208" s="18" t="str">
        <f aca="false">IF(Q208="","",Q208*IF(LEFT(L208,7)="Phase 1",Assumptions!$B$11,Assumptions!$B$12))</f>
        <v/>
      </c>
    </row>
    <row r="209" customFormat="false" ht="15" hidden="false" customHeight="true" outlineLevel="0" collapsed="false">
      <c r="C209" s="24"/>
      <c r="F209" s="22"/>
      <c r="G209" s="23"/>
      <c r="H209" s="24"/>
      <c r="J209" s="18" t="str">
        <f aca="false">IF(F209="","",F209*G209)</f>
        <v/>
      </c>
      <c r="K209" s="5" t="str">
        <f aca="false">IF(A209="","",IF(H209&lt;&gt;"",Assumptions!$D$5-H209,IF(C209="","",Assumptions!$D$5-(C209+Assumptions!$B$8))))</f>
        <v/>
      </c>
      <c r="L209" s="5" t="str">
        <f aca="false">IF(K209="","",IF(K209&lt;0,"Phase 1 (unliquidated)",IF(K209&lt;=Assumptions!$B$7,"Phase 1 (recently liquidated)",IF(K209&lt;=Assumptions!$B$6,"Protest required","Deadline passed — litigation only"))))</f>
        <v/>
      </c>
      <c r="M209" s="20" t="str">
        <f aca="false">IF(K209="","",IF(H209&lt;&gt;"",H209+Assumptions!$B$6,C209+Assumptions!$B$8+Assumptions!$B$6))</f>
        <v/>
      </c>
      <c r="N209" s="20" t="str">
        <f aca="false">IF(K209="","",IF(K209&lt;0,IF(H209&lt;&gt;"",H209+Assumptions!$B$7,C209+Assumptions!$B$8+Assumptions!$B$7),M209))</f>
        <v/>
      </c>
      <c r="O209" s="21" t="str">
        <f aca="false">IF(N209="","",N209-Assumptions!$D$5)</f>
        <v/>
      </c>
      <c r="P209" s="22"/>
      <c r="Q209" s="22"/>
      <c r="R209" s="18" t="str">
        <f aca="false">IF(Q209="","",Q209*IF(LEFT(L209,7)="Phase 1",Assumptions!$B$11,Assumptions!$B$12))</f>
        <v/>
      </c>
    </row>
    <row r="210" customFormat="false" ht="15" hidden="false" customHeight="true" outlineLevel="0" collapsed="false">
      <c r="C210" s="24"/>
      <c r="F210" s="22"/>
      <c r="G210" s="23"/>
      <c r="H210" s="24"/>
      <c r="J210" s="18" t="str">
        <f aca="false">IF(F210="","",F210*G210)</f>
        <v/>
      </c>
      <c r="K210" s="5" t="str">
        <f aca="false">IF(A210="","",IF(H210&lt;&gt;"",Assumptions!$D$5-H210,IF(C210="","",Assumptions!$D$5-(C210+Assumptions!$B$8))))</f>
        <v/>
      </c>
      <c r="L210" s="5" t="str">
        <f aca="false">IF(K210="","",IF(K210&lt;0,"Phase 1 (unliquidated)",IF(K210&lt;=Assumptions!$B$7,"Phase 1 (recently liquidated)",IF(K210&lt;=Assumptions!$B$6,"Protest required","Deadline passed — litigation only"))))</f>
        <v/>
      </c>
      <c r="M210" s="20" t="str">
        <f aca="false">IF(K210="","",IF(H210&lt;&gt;"",H210+Assumptions!$B$6,C210+Assumptions!$B$8+Assumptions!$B$6))</f>
        <v/>
      </c>
      <c r="N210" s="20" t="str">
        <f aca="false">IF(K210="","",IF(K210&lt;0,IF(H210&lt;&gt;"",H210+Assumptions!$B$7,C210+Assumptions!$B$8+Assumptions!$B$7),M210))</f>
        <v/>
      </c>
      <c r="O210" s="21" t="str">
        <f aca="false">IF(N210="","",N210-Assumptions!$D$5)</f>
        <v/>
      </c>
      <c r="P210" s="22"/>
      <c r="Q210" s="22"/>
      <c r="R210" s="18" t="str">
        <f aca="false">IF(Q210="","",Q210*IF(LEFT(L210,7)="Phase 1",Assumptions!$B$11,Assumptions!$B$12))</f>
        <v/>
      </c>
    </row>
    <row r="211" customFormat="false" ht="15" hidden="false" customHeight="true" outlineLevel="0" collapsed="false">
      <c r="C211" s="24"/>
      <c r="F211" s="22"/>
      <c r="G211" s="23"/>
      <c r="H211" s="24"/>
      <c r="J211" s="18" t="str">
        <f aca="false">IF(F211="","",F211*G211)</f>
        <v/>
      </c>
      <c r="K211" s="5" t="str">
        <f aca="false">IF(A211="","",IF(H211&lt;&gt;"",Assumptions!$D$5-H211,IF(C211="","",Assumptions!$D$5-(C211+Assumptions!$B$8))))</f>
        <v/>
      </c>
      <c r="L211" s="5" t="str">
        <f aca="false">IF(K211="","",IF(K211&lt;0,"Phase 1 (unliquidated)",IF(K211&lt;=Assumptions!$B$7,"Phase 1 (recently liquidated)",IF(K211&lt;=Assumptions!$B$6,"Protest required","Deadline passed — litigation only"))))</f>
        <v/>
      </c>
      <c r="M211" s="20" t="str">
        <f aca="false">IF(K211="","",IF(H211&lt;&gt;"",H211+Assumptions!$B$6,C211+Assumptions!$B$8+Assumptions!$B$6))</f>
        <v/>
      </c>
      <c r="N211" s="20" t="str">
        <f aca="false">IF(K211="","",IF(K211&lt;0,IF(H211&lt;&gt;"",H211+Assumptions!$B$7,C211+Assumptions!$B$8+Assumptions!$B$7),M211))</f>
        <v/>
      </c>
      <c r="O211" s="21" t="str">
        <f aca="false">IF(N211="","",N211-Assumptions!$D$5)</f>
        <v/>
      </c>
      <c r="P211" s="22"/>
      <c r="Q211" s="22"/>
      <c r="R211" s="18" t="str">
        <f aca="false">IF(Q211="","",Q211*IF(LEFT(L211,7)="Phase 1",Assumptions!$B$11,Assumptions!$B$12))</f>
        <v/>
      </c>
    </row>
    <row r="212" customFormat="false" ht="15" hidden="false" customHeight="true" outlineLevel="0" collapsed="false">
      <c r="C212" s="24"/>
      <c r="F212" s="22"/>
      <c r="G212" s="23"/>
      <c r="H212" s="24"/>
      <c r="J212" s="18" t="str">
        <f aca="false">IF(F212="","",F212*G212)</f>
        <v/>
      </c>
      <c r="K212" s="5" t="str">
        <f aca="false">IF(A212="","",IF(H212&lt;&gt;"",Assumptions!$D$5-H212,IF(C212="","",Assumptions!$D$5-(C212+Assumptions!$B$8))))</f>
        <v/>
      </c>
      <c r="L212" s="5" t="str">
        <f aca="false">IF(K212="","",IF(K212&lt;0,"Phase 1 (unliquidated)",IF(K212&lt;=Assumptions!$B$7,"Phase 1 (recently liquidated)",IF(K212&lt;=Assumptions!$B$6,"Protest required","Deadline passed — litigation only"))))</f>
        <v/>
      </c>
      <c r="M212" s="20" t="str">
        <f aca="false">IF(K212="","",IF(H212&lt;&gt;"",H212+Assumptions!$B$6,C212+Assumptions!$B$8+Assumptions!$B$6))</f>
        <v/>
      </c>
      <c r="N212" s="20" t="str">
        <f aca="false">IF(K212="","",IF(K212&lt;0,IF(H212&lt;&gt;"",H212+Assumptions!$B$7,C212+Assumptions!$B$8+Assumptions!$B$7),M212))</f>
        <v/>
      </c>
      <c r="O212" s="21" t="str">
        <f aca="false">IF(N212="","",N212-Assumptions!$D$5)</f>
        <v/>
      </c>
      <c r="P212" s="22"/>
      <c r="Q212" s="22"/>
      <c r="R212" s="18" t="str">
        <f aca="false">IF(Q212="","",Q212*IF(LEFT(L212,7)="Phase 1",Assumptions!$B$11,Assumptions!$B$12))</f>
        <v/>
      </c>
    </row>
    <row r="213" customFormat="false" ht="15" hidden="false" customHeight="true" outlineLevel="0" collapsed="false">
      <c r="C213" s="24"/>
      <c r="F213" s="22"/>
      <c r="G213" s="23"/>
      <c r="H213" s="24"/>
      <c r="J213" s="18" t="str">
        <f aca="false">IF(F213="","",F213*G213)</f>
        <v/>
      </c>
      <c r="K213" s="5" t="str">
        <f aca="false">IF(A213="","",IF(H213&lt;&gt;"",Assumptions!$D$5-H213,IF(C213="","",Assumptions!$D$5-(C213+Assumptions!$B$8))))</f>
        <v/>
      </c>
      <c r="L213" s="5" t="str">
        <f aca="false">IF(K213="","",IF(K213&lt;0,"Phase 1 (unliquidated)",IF(K213&lt;=Assumptions!$B$7,"Phase 1 (recently liquidated)",IF(K213&lt;=Assumptions!$B$6,"Protest required","Deadline passed — litigation only"))))</f>
        <v/>
      </c>
      <c r="M213" s="20" t="str">
        <f aca="false">IF(K213="","",IF(H213&lt;&gt;"",H213+Assumptions!$B$6,C213+Assumptions!$B$8+Assumptions!$B$6))</f>
        <v/>
      </c>
      <c r="N213" s="20" t="str">
        <f aca="false">IF(K213="","",IF(K213&lt;0,IF(H213&lt;&gt;"",H213+Assumptions!$B$7,C213+Assumptions!$B$8+Assumptions!$B$7),M213))</f>
        <v/>
      </c>
      <c r="O213" s="21" t="str">
        <f aca="false">IF(N213="","",N213-Assumptions!$D$5)</f>
        <v/>
      </c>
      <c r="P213" s="22"/>
      <c r="Q213" s="22"/>
      <c r="R213" s="18" t="str">
        <f aca="false">IF(Q213="","",Q213*IF(LEFT(L213,7)="Phase 1",Assumptions!$B$11,Assumptions!$B$12))</f>
        <v/>
      </c>
    </row>
    <row r="214" customFormat="false" ht="15" hidden="false" customHeight="true" outlineLevel="0" collapsed="false">
      <c r="C214" s="24"/>
      <c r="F214" s="22"/>
      <c r="G214" s="23"/>
      <c r="H214" s="24"/>
      <c r="J214" s="18" t="str">
        <f aca="false">IF(F214="","",F214*G214)</f>
        <v/>
      </c>
      <c r="K214" s="5" t="str">
        <f aca="false">IF(A214="","",IF(H214&lt;&gt;"",Assumptions!$D$5-H214,IF(C214="","",Assumptions!$D$5-(C214+Assumptions!$B$8))))</f>
        <v/>
      </c>
      <c r="L214" s="5" t="str">
        <f aca="false">IF(K214="","",IF(K214&lt;0,"Phase 1 (unliquidated)",IF(K214&lt;=Assumptions!$B$7,"Phase 1 (recently liquidated)",IF(K214&lt;=Assumptions!$B$6,"Protest required","Deadline passed — litigation only"))))</f>
        <v/>
      </c>
      <c r="M214" s="20" t="str">
        <f aca="false">IF(K214="","",IF(H214&lt;&gt;"",H214+Assumptions!$B$6,C214+Assumptions!$B$8+Assumptions!$B$6))</f>
        <v/>
      </c>
      <c r="N214" s="20" t="str">
        <f aca="false">IF(K214="","",IF(K214&lt;0,IF(H214&lt;&gt;"",H214+Assumptions!$B$7,C214+Assumptions!$B$8+Assumptions!$B$7),M214))</f>
        <v/>
      </c>
      <c r="O214" s="21" t="str">
        <f aca="false">IF(N214="","",N214-Assumptions!$D$5)</f>
        <v/>
      </c>
      <c r="P214" s="22"/>
      <c r="Q214" s="22"/>
      <c r="R214" s="18" t="str">
        <f aca="false">IF(Q214="","",Q214*IF(LEFT(L214,7)="Phase 1",Assumptions!$B$11,Assumptions!$B$12))</f>
        <v/>
      </c>
    </row>
    <row r="215" customFormat="false" ht="15" hidden="false" customHeight="true" outlineLevel="0" collapsed="false">
      <c r="C215" s="24"/>
      <c r="F215" s="22"/>
      <c r="G215" s="23"/>
      <c r="H215" s="24"/>
      <c r="J215" s="18" t="str">
        <f aca="false">IF(F215="","",F215*G215)</f>
        <v/>
      </c>
      <c r="K215" s="5" t="str">
        <f aca="false">IF(A215="","",IF(H215&lt;&gt;"",Assumptions!$D$5-H215,IF(C215="","",Assumptions!$D$5-(C215+Assumptions!$B$8))))</f>
        <v/>
      </c>
      <c r="L215" s="5" t="str">
        <f aca="false">IF(K215="","",IF(K215&lt;0,"Phase 1 (unliquidated)",IF(K215&lt;=Assumptions!$B$7,"Phase 1 (recently liquidated)",IF(K215&lt;=Assumptions!$B$6,"Protest required","Deadline passed — litigation only"))))</f>
        <v/>
      </c>
      <c r="M215" s="20" t="str">
        <f aca="false">IF(K215="","",IF(H215&lt;&gt;"",H215+Assumptions!$B$6,C215+Assumptions!$B$8+Assumptions!$B$6))</f>
        <v/>
      </c>
      <c r="N215" s="20" t="str">
        <f aca="false">IF(K215="","",IF(K215&lt;0,IF(H215&lt;&gt;"",H215+Assumptions!$B$7,C215+Assumptions!$B$8+Assumptions!$B$7),M215))</f>
        <v/>
      </c>
      <c r="O215" s="21" t="str">
        <f aca="false">IF(N215="","",N215-Assumptions!$D$5)</f>
        <v/>
      </c>
      <c r="P215" s="22"/>
      <c r="Q215" s="22"/>
      <c r="R215" s="18" t="str">
        <f aca="false">IF(Q215="","",Q215*IF(LEFT(L215,7)="Phase 1",Assumptions!$B$11,Assumptions!$B$12))</f>
        <v/>
      </c>
    </row>
    <row r="216" customFormat="false" ht="15" hidden="false" customHeight="true" outlineLevel="0" collapsed="false">
      <c r="C216" s="24"/>
      <c r="F216" s="22"/>
      <c r="G216" s="23"/>
      <c r="H216" s="24"/>
      <c r="J216" s="18" t="str">
        <f aca="false">IF(F216="","",F216*G216)</f>
        <v/>
      </c>
      <c r="K216" s="5" t="str">
        <f aca="false">IF(A216="","",IF(H216&lt;&gt;"",Assumptions!$D$5-H216,IF(C216="","",Assumptions!$D$5-(C216+Assumptions!$B$8))))</f>
        <v/>
      </c>
      <c r="L216" s="5" t="str">
        <f aca="false">IF(K216="","",IF(K216&lt;0,"Phase 1 (unliquidated)",IF(K216&lt;=Assumptions!$B$7,"Phase 1 (recently liquidated)",IF(K216&lt;=Assumptions!$B$6,"Protest required","Deadline passed — litigation only"))))</f>
        <v/>
      </c>
      <c r="M216" s="20" t="str">
        <f aca="false">IF(K216="","",IF(H216&lt;&gt;"",H216+Assumptions!$B$6,C216+Assumptions!$B$8+Assumptions!$B$6))</f>
        <v/>
      </c>
      <c r="N216" s="20" t="str">
        <f aca="false">IF(K216="","",IF(K216&lt;0,IF(H216&lt;&gt;"",H216+Assumptions!$B$7,C216+Assumptions!$B$8+Assumptions!$B$7),M216))</f>
        <v/>
      </c>
      <c r="O216" s="21" t="str">
        <f aca="false">IF(N216="","",N216-Assumptions!$D$5)</f>
        <v/>
      </c>
      <c r="P216" s="22"/>
      <c r="Q216" s="22"/>
      <c r="R216" s="18" t="str">
        <f aca="false">IF(Q216="","",Q216*IF(LEFT(L216,7)="Phase 1",Assumptions!$B$11,Assumptions!$B$12))</f>
        <v/>
      </c>
    </row>
    <row r="217" customFormat="false" ht="15" hidden="false" customHeight="true" outlineLevel="0" collapsed="false">
      <c r="C217" s="24"/>
      <c r="F217" s="22"/>
      <c r="G217" s="23"/>
      <c r="H217" s="24"/>
      <c r="J217" s="18" t="str">
        <f aca="false">IF(F217="","",F217*G217)</f>
        <v/>
      </c>
      <c r="K217" s="5" t="str">
        <f aca="false">IF(A217="","",IF(H217&lt;&gt;"",Assumptions!$D$5-H217,IF(C217="","",Assumptions!$D$5-(C217+Assumptions!$B$8))))</f>
        <v/>
      </c>
      <c r="L217" s="5" t="str">
        <f aca="false">IF(K217="","",IF(K217&lt;0,"Phase 1 (unliquidated)",IF(K217&lt;=Assumptions!$B$7,"Phase 1 (recently liquidated)",IF(K217&lt;=Assumptions!$B$6,"Protest required","Deadline passed — litigation only"))))</f>
        <v/>
      </c>
      <c r="M217" s="20" t="str">
        <f aca="false">IF(K217="","",IF(H217&lt;&gt;"",H217+Assumptions!$B$6,C217+Assumptions!$B$8+Assumptions!$B$6))</f>
        <v/>
      </c>
      <c r="N217" s="20" t="str">
        <f aca="false">IF(K217="","",IF(K217&lt;0,IF(H217&lt;&gt;"",H217+Assumptions!$B$7,C217+Assumptions!$B$8+Assumptions!$B$7),M217))</f>
        <v/>
      </c>
      <c r="O217" s="21" t="str">
        <f aca="false">IF(N217="","",N217-Assumptions!$D$5)</f>
        <v/>
      </c>
      <c r="P217" s="22"/>
      <c r="Q217" s="22"/>
      <c r="R217" s="18" t="str">
        <f aca="false">IF(Q217="","",Q217*IF(LEFT(L217,7)="Phase 1",Assumptions!$B$11,Assumptions!$B$12))</f>
        <v/>
      </c>
    </row>
    <row r="218" customFormat="false" ht="15" hidden="false" customHeight="true" outlineLevel="0" collapsed="false">
      <c r="C218" s="24"/>
      <c r="F218" s="22"/>
      <c r="G218" s="23"/>
      <c r="H218" s="24"/>
      <c r="J218" s="18" t="str">
        <f aca="false">IF(F218="","",F218*G218)</f>
        <v/>
      </c>
      <c r="K218" s="5" t="str">
        <f aca="false">IF(A218="","",IF(H218&lt;&gt;"",Assumptions!$D$5-H218,IF(C218="","",Assumptions!$D$5-(C218+Assumptions!$B$8))))</f>
        <v/>
      </c>
      <c r="L218" s="5" t="str">
        <f aca="false">IF(K218="","",IF(K218&lt;0,"Phase 1 (unliquidated)",IF(K218&lt;=Assumptions!$B$7,"Phase 1 (recently liquidated)",IF(K218&lt;=Assumptions!$B$6,"Protest required","Deadline passed — litigation only"))))</f>
        <v/>
      </c>
      <c r="M218" s="20" t="str">
        <f aca="false">IF(K218="","",IF(H218&lt;&gt;"",H218+Assumptions!$B$6,C218+Assumptions!$B$8+Assumptions!$B$6))</f>
        <v/>
      </c>
      <c r="N218" s="20" t="str">
        <f aca="false">IF(K218="","",IF(K218&lt;0,IF(H218&lt;&gt;"",H218+Assumptions!$B$7,C218+Assumptions!$B$8+Assumptions!$B$7),M218))</f>
        <v/>
      </c>
      <c r="O218" s="21" t="str">
        <f aca="false">IF(N218="","",N218-Assumptions!$D$5)</f>
        <v/>
      </c>
      <c r="P218" s="22"/>
      <c r="Q218" s="22"/>
      <c r="R218" s="18" t="str">
        <f aca="false">IF(Q218="","",Q218*IF(LEFT(L218,7)="Phase 1",Assumptions!$B$11,Assumptions!$B$12))</f>
        <v/>
      </c>
    </row>
    <row r="219" customFormat="false" ht="15" hidden="false" customHeight="true" outlineLevel="0" collapsed="false">
      <c r="C219" s="24"/>
      <c r="F219" s="22"/>
      <c r="G219" s="23"/>
      <c r="H219" s="24"/>
      <c r="J219" s="18" t="str">
        <f aca="false">IF(F219="","",F219*G219)</f>
        <v/>
      </c>
      <c r="K219" s="5" t="str">
        <f aca="false">IF(A219="","",IF(H219&lt;&gt;"",Assumptions!$D$5-H219,IF(C219="","",Assumptions!$D$5-(C219+Assumptions!$B$8))))</f>
        <v/>
      </c>
      <c r="L219" s="5" t="str">
        <f aca="false">IF(K219="","",IF(K219&lt;0,"Phase 1 (unliquidated)",IF(K219&lt;=Assumptions!$B$7,"Phase 1 (recently liquidated)",IF(K219&lt;=Assumptions!$B$6,"Protest required","Deadline passed — litigation only"))))</f>
        <v/>
      </c>
      <c r="M219" s="20" t="str">
        <f aca="false">IF(K219="","",IF(H219&lt;&gt;"",H219+Assumptions!$B$6,C219+Assumptions!$B$8+Assumptions!$B$6))</f>
        <v/>
      </c>
      <c r="N219" s="20" t="str">
        <f aca="false">IF(K219="","",IF(K219&lt;0,IF(H219&lt;&gt;"",H219+Assumptions!$B$7,C219+Assumptions!$B$8+Assumptions!$B$7),M219))</f>
        <v/>
      </c>
      <c r="O219" s="21" t="str">
        <f aca="false">IF(N219="","",N219-Assumptions!$D$5)</f>
        <v/>
      </c>
      <c r="P219" s="22"/>
      <c r="Q219" s="22"/>
      <c r="R219" s="18" t="str">
        <f aca="false">IF(Q219="","",Q219*IF(LEFT(L219,7)="Phase 1",Assumptions!$B$11,Assumptions!$B$12))</f>
        <v/>
      </c>
    </row>
    <row r="220" customFormat="false" ht="15" hidden="false" customHeight="true" outlineLevel="0" collapsed="false">
      <c r="C220" s="24"/>
      <c r="F220" s="22"/>
      <c r="G220" s="23"/>
      <c r="H220" s="24"/>
      <c r="J220" s="18" t="str">
        <f aca="false">IF(F220="","",F220*G220)</f>
        <v/>
      </c>
      <c r="K220" s="5" t="str">
        <f aca="false">IF(A220="","",IF(H220&lt;&gt;"",Assumptions!$D$5-H220,IF(C220="","",Assumptions!$D$5-(C220+Assumptions!$B$8))))</f>
        <v/>
      </c>
      <c r="L220" s="5" t="str">
        <f aca="false">IF(K220="","",IF(K220&lt;0,"Phase 1 (unliquidated)",IF(K220&lt;=Assumptions!$B$7,"Phase 1 (recently liquidated)",IF(K220&lt;=Assumptions!$B$6,"Protest required","Deadline passed — litigation only"))))</f>
        <v/>
      </c>
      <c r="M220" s="20" t="str">
        <f aca="false">IF(K220="","",IF(H220&lt;&gt;"",H220+Assumptions!$B$6,C220+Assumptions!$B$8+Assumptions!$B$6))</f>
        <v/>
      </c>
      <c r="N220" s="20" t="str">
        <f aca="false">IF(K220="","",IF(K220&lt;0,IF(H220&lt;&gt;"",H220+Assumptions!$B$7,C220+Assumptions!$B$8+Assumptions!$B$7),M220))</f>
        <v/>
      </c>
      <c r="O220" s="21" t="str">
        <f aca="false">IF(N220="","",N220-Assumptions!$D$5)</f>
        <v/>
      </c>
      <c r="P220" s="22"/>
      <c r="Q220" s="22"/>
      <c r="R220" s="18" t="str">
        <f aca="false">IF(Q220="","",Q220*IF(LEFT(L220,7)="Phase 1",Assumptions!$B$11,Assumptions!$B$12))</f>
        <v/>
      </c>
    </row>
    <row r="221" customFormat="false" ht="15" hidden="false" customHeight="true" outlineLevel="0" collapsed="false">
      <c r="C221" s="24"/>
      <c r="F221" s="22"/>
      <c r="G221" s="23"/>
      <c r="H221" s="24"/>
      <c r="J221" s="18" t="str">
        <f aca="false">IF(F221="","",F221*G221)</f>
        <v/>
      </c>
      <c r="K221" s="5" t="str">
        <f aca="false">IF(A221="","",IF(H221&lt;&gt;"",Assumptions!$D$5-H221,IF(C221="","",Assumptions!$D$5-(C221+Assumptions!$B$8))))</f>
        <v/>
      </c>
      <c r="L221" s="5" t="str">
        <f aca="false">IF(K221="","",IF(K221&lt;0,"Phase 1 (unliquidated)",IF(K221&lt;=Assumptions!$B$7,"Phase 1 (recently liquidated)",IF(K221&lt;=Assumptions!$B$6,"Protest required","Deadline passed — litigation only"))))</f>
        <v/>
      </c>
      <c r="M221" s="20" t="str">
        <f aca="false">IF(K221="","",IF(H221&lt;&gt;"",H221+Assumptions!$B$6,C221+Assumptions!$B$8+Assumptions!$B$6))</f>
        <v/>
      </c>
      <c r="N221" s="20" t="str">
        <f aca="false">IF(K221="","",IF(K221&lt;0,IF(H221&lt;&gt;"",H221+Assumptions!$B$7,C221+Assumptions!$B$8+Assumptions!$B$7),M221))</f>
        <v/>
      </c>
      <c r="O221" s="21" t="str">
        <f aca="false">IF(N221="","",N221-Assumptions!$D$5)</f>
        <v/>
      </c>
      <c r="P221" s="22"/>
      <c r="Q221" s="22"/>
      <c r="R221" s="18" t="str">
        <f aca="false">IF(Q221="","",Q221*IF(LEFT(L221,7)="Phase 1",Assumptions!$B$11,Assumptions!$B$12))</f>
        <v/>
      </c>
    </row>
    <row r="222" customFormat="false" ht="15" hidden="false" customHeight="true" outlineLevel="0" collapsed="false">
      <c r="C222" s="24"/>
      <c r="F222" s="22"/>
      <c r="G222" s="23"/>
      <c r="H222" s="24"/>
      <c r="J222" s="18" t="str">
        <f aca="false">IF(F222="","",F222*G222)</f>
        <v/>
      </c>
      <c r="K222" s="5" t="str">
        <f aca="false">IF(A222="","",IF(H222&lt;&gt;"",Assumptions!$D$5-H222,IF(C222="","",Assumptions!$D$5-(C222+Assumptions!$B$8))))</f>
        <v/>
      </c>
      <c r="L222" s="5" t="str">
        <f aca="false">IF(K222="","",IF(K222&lt;0,"Phase 1 (unliquidated)",IF(K222&lt;=Assumptions!$B$7,"Phase 1 (recently liquidated)",IF(K222&lt;=Assumptions!$B$6,"Protest required","Deadline passed — litigation only"))))</f>
        <v/>
      </c>
      <c r="M222" s="20" t="str">
        <f aca="false">IF(K222="","",IF(H222&lt;&gt;"",H222+Assumptions!$B$6,C222+Assumptions!$B$8+Assumptions!$B$6))</f>
        <v/>
      </c>
      <c r="N222" s="20" t="str">
        <f aca="false">IF(K222="","",IF(K222&lt;0,IF(H222&lt;&gt;"",H222+Assumptions!$B$7,C222+Assumptions!$B$8+Assumptions!$B$7),M222))</f>
        <v/>
      </c>
      <c r="O222" s="21" t="str">
        <f aca="false">IF(N222="","",N222-Assumptions!$D$5)</f>
        <v/>
      </c>
      <c r="P222" s="22"/>
      <c r="Q222" s="22"/>
      <c r="R222" s="18" t="str">
        <f aca="false">IF(Q222="","",Q222*IF(LEFT(L222,7)="Phase 1",Assumptions!$B$11,Assumptions!$B$12))</f>
        <v/>
      </c>
    </row>
    <row r="223" customFormat="false" ht="15" hidden="false" customHeight="true" outlineLevel="0" collapsed="false">
      <c r="C223" s="24"/>
      <c r="F223" s="22"/>
      <c r="G223" s="23"/>
      <c r="H223" s="24"/>
      <c r="J223" s="18" t="str">
        <f aca="false">IF(F223="","",F223*G223)</f>
        <v/>
      </c>
      <c r="K223" s="5" t="str">
        <f aca="false">IF(A223="","",IF(H223&lt;&gt;"",Assumptions!$D$5-H223,IF(C223="","",Assumptions!$D$5-(C223+Assumptions!$B$8))))</f>
        <v/>
      </c>
      <c r="L223" s="5" t="str">
        <f aca="false">IF(K223="","",IF(K223&lt;0,"Phase 1 (unliquidated)",IF(K223&lt;=Assumptions!$B$7,"Phase 1 (recently liquidated)",IF(K223&lt;=Assumptions!$B$6,"Protest required","Deadline passed — litigation only"))))</f>
        <v/>
      </c>
      <c r="M223" s="20" t="str">
        <f aca="false">IF(K223="","",IF(H223&lt;&gt;"",H223+Assumptions!$B$6,C223+Assumptions!$B$8+Assumptions!$B$6))</f>
        <v/>
      </c>
      <c r="N223" s="20" t="str">
        <f aca="false">IF(K223="","",IF(K223&lt;0,IF(H223&lt;&gt;"",H223+Assumptions!$B$7,C223+Assumptions!$B$8+Assumptions!$B$7),M223))</f>
        <v/>
      </c>
      <c r="O223" s="21" t="str">
        <f aca="false">IF(N223="","",N223-Assumptions!$D$5)</f>
        <v/>
      </c>
      <c r="P223" s="22"/>
      <c r="Q223" s="22"/>
      <c r="R223" s="18" t="str">
        <f aca="false">IF(Q223="","",Q223*IF(LEFT(L223,7)="Phase 1",Assumptions!$B$11,Assumptions!$B$12))</f>
        <v/>
      </c>
    </row>
    <row r="224" customFormat="false" ht="15" hidden="false" customHeight="true" outlineLevel="0" collapsed="false">
      <c r="C224" s="24"/>
      <c r="F224" s="22"/>
      <c r="G224" s="23"/>
      <c r="H224" s="24"/>
      <c r="J224" s="18" t="str">
        <f aca="false">IF(F224="","",F224*G224)</f>
        <v/>
      </c>
      <c r="K224" s="5" t="str">
        <f aca="false">IF(A224="","",IF(H224&lt;&gt;"",Assumptions!$D$5-H224,IF(C224="","",Assumptions!$D$5-(C224+Assumptions!$B$8))))</f>
        <v/>
      </c>
      <c r="L224" s="5" t="str">
        <f aca="false">IF(K224="","",IF(K224&lt;0,"Phase 1 (unliquidated)",IF(K224&lt;=Assumptions!$B$7,"Phase 1 (recently liquidated)",IF(K224&lt;=Assumptions!$B$6,"Protest required","Deadline passed — litigation only"))))</f>
        <v/>
      </c>
      <c r="M224" s="20" t="str">
        <f aca="false">IF(K224="","",IF(H224&lt;&gt;"",H224+Assumptions!$B$6,C224+Assumptions!$B$8+Assumptions!$B$6))</f>
        <v/>
      </c>
      <c r="N224" s="20" t="str">
        <f aca="false">IF(K224="","",IF(K224&lt;0,IF(H224&lt;&gt;"",H224+Assumptions!$B$7,C224+Assumptions!$B$8+Assumptions!$B$7),M224))</f>
        <v/>
      </c>
      <c r="O224" s="21" t="str">
        <f aca="false">IF(N224="","",N224-Assumptions!$D$5)</f>
        <v/>
      </c>
      <c r="P224" s="22"/>
      <c r="Q224" s="22"/>
      <c r="R224" s="18" t="str">
        <f aca="false">IF(Q224="","",Q224*IF(LEFT(L224,7)="Phase 1",Assumptions!$B$11,Assumptions!$B$12))</f>
        <v/>
      </c>
    </row>
    <row r="225" customFormat="false" ht="15" hidden="false" customHeight="true" outlineLevel="0" collapsed="false">
      <c r="C225" s="24"/>
      <c r="F225" s="22"/>
      <c r="G225" s="23"/>
      <c r="H225" s="24"/>
      <c r="J225" s="18" t="str">
        <f aca="false">IF(F225="","",F225*G225)</f>
        <v/>
      </c>
      <c r="K225" s="5" t="str">
        <f aca="false">IF(A225="","",IF(H225&lt;&gt;"",Assumptions!$D$5-H225,IF(C225="","",Assumptions!$D$5-(C225+Assumptions!$B$8))))</f>
        <v/>
      </c>
      <c r="L225" s="5" t="str">
        <f aca="false">IF(K225="","",IF(K225&lt;0,"Phase 1 (unliquidated)",IF(K225&lt;=Assumptions!$B$7,"Phase 1 (recently liquidated)",IF(K225&lt;=Assumptions!$B$6,"Protest required","Deadline passed — litigation only"))))</f>
        <v/>
      </c>
      <c r="M225" s="20" t="str">
        <f aca="false">IF(K225="","",IF(H225&lt;&gt;"",H225+Assumptions!$B$6,C225+Assumptions!$B$8+Assumptions!$B$6))</f>
        <v/>
      </c>
      <c r="N225" s="20" t="str">
        <f aca="false">IF(K225="","",IF(K225&lt;0,IF(H225&lt;&gt;"",H225+Assumptions!$B$7,C225+Assumptions!$B$8+Assumptions!$B$7),M225))</f>
        <v/>
      </c>
      <c r="O225" s="21" t="str">
        <f aca="false">IF(N225="","",N225-Assumptions!$D$5)</f>
        <v/>
      </c>
      <c r="P225" s="22"/>
      <c r="Q225" s="22"/>
      <c r="R225" s="18" t="str">
        <f aca="false">IF(Q225="","",Q225*IF(LEFT(L225,7)="Phase 1",Assumptions!$B$11,Assumptions!$B$12))</f>
        <v/>
      </c>
    </row>
    <row r="226" customFormat="false" ht="15" hidden="false" customHeight="true" outlineLevel="0" collapsed="false">
      <c r="C226" s="24"/>
      <c r="F226" s="22"/>
      <c r="G226" s="23"/>
      <c r="H226" s="24"/>
      <c r="J226" s="18" t="str">
        <f aca="false">IF(F226="","",F226*G226)</f>
        <v/>
      </c>
      <c r="K226" s="5" t="str">
        <f aca="false">IF(A226="","",IF(H226&lt;&gt;"",Assumptions!$D$5-H226,IF(C226="","",Assumptions!$D$5-(C226+Assumptions!$B$8))))</f>
        <v/>
      </c>
      <c r="L226" s="5" t="str">
        <f aca="false">IF(K226="","",IF(K226&lt;0,"Phase 1 (unliquidated)",IF(K226&lt;=Assumptions!$B$7,"Phase 1 (recently liquidated)",IF(K226&lt;=Assumptions!$B$6,"Protest required","Deadline passed — litigation only"))))</f>
        <v/>
      </c>
      <c r="M226" s="20" t="str">
        <f aca="false">IF(K226="","",IF(H226&lt;&gt;"",H226+Assumptions!$B$6,C226+Assumptions!$B$8+Assumptions!$B$6))</f>
        <v/>
      </c>
      <c r="N226" s="20" t="str">
        <f aca="false">IF(K226="","",IF(K226&lt;0,IF(H226&lt;&gt;"",H226+Assumptions!$B$7,C226+Assumptions!$B$8+Assumptions!$B$7),M226))</f>
        <v/>
      </c>
      <c r="O226" s="21" t="str">
        <f aca="false">IF(N226="","",N226-Assumptions!$D$5)</f>
        <v/>
      </c>
      <c r="P226" s="22"/>
      <c r="Q226" s="22"/>
      <c r="R226" s="18" t="str">
        <f aca="false">IF(Q226="","",Q226*IF(LEFT(L226,7)="Phase 1",Assumptions!$B$11,Assumptions!$B$12))</f>
        <v/>
      </c>
    </row>
    <row r="227" customFormat="false" ht="15" hidden="false" customHeight="true" outlineLevel="0" collapsed="false">
      <c r="C227" s="24"/>
      <c r="F227" s="22"/>
      <c r="G227" s="23"/>
      <c r="H227" s="24"/>
      <c r="J227" s="18" t="str">
        <f aca="false">IF(F227="","",F227*G227)</f>
        <v/>
      </c>
      <c r="K227" s="5" t="str">
        <f aca="false">IF(A227="","",IF(H227&lt;&gt;"",Assumptions!$D$5-H227,IF(C227="","",Assumptions!$D$5-(C227+Assumptions!$B$8))))</f>
        <v/>
      </c>
      <c r="L227" s="5" t="str">
        <f aca="false">IF(K227="","",IF(K227&lt;0,"Phase 1 (unliquidated)",IF(K227&lt;=Assumptions!$B$7,"Phase 1 (recently liquidated)",IF(K227&lt;=Assumptions!$B$6,"Protest required","Deadline passed — litigation only"))))</f>
        <v/>
      </c>
      <c r="M227" s="20" t="str">
        <f aca="false">IF(K227="","",IF(H227&lt;&gt;"",H227+Assumptions!$B$6,C227+Assumptions!$B$8+Assumptions!$B$6))</f>
        <v/>
      </c>
      <c r="N227" s="20" t="str">
        <f aca="false">IF(K227="","",IF(K227&lt;0,IF(H227&lt;&gt;"",H227+Assumptions!$B$7,C227+Assumptions!$B$8+Assumptions!$B$7),M227))</f>
        <v/>
      </c>
      <c r="O227" s="21" t="str">
        <f aca="false">IF(N227="","",N227-Assumptions!$D$5)</f>
        <v/>
      </c>
      <c r="P227" s="22"/>
      <c r="Q227" s="22"/>
      <c r="R227" s="18" t="str">
        <f aca="false">IF(Q227="","",Q227*IF(LEFT(L227,7)="Phase 1",Assumptions!$B$11,Assumptions!$B$12))</f>
        <v/>
      </c>
    </row>
    <row r="228" customFormat="false" ht="15" hidden="false" customHeight="true" outlineLevel="0" collapsed="false">
      <c r="C228" s="24"/>
      <c r="F228" s="22"/>
      <c r="G228" s="23"/>
      <c r="H228" s="24"/>
      <c r="J228" s="18" t="str">
        <f aca="false">IF(F228="","",F228*G228)</f>
        <v/>
      </c>
      <c r="K228" s="5" t="str">
        <f aca="false">IF(A228="","",IF(H228&lt;&gt;"",Assumptions!$D$5-H228,IF(C228="","",Assumptions!$D$5-(C228+Assumptions!$B$8))))</f>
        <v/>
      </c>
      <c r="L228" s="5" t="str">
        <f aca="false">IF(K228="","",IF(K228&lt;0,"Phase 1 (unliquidated)",IF(K228&lt;=Assumptions!$B$7,"Phase 1 (recently liquidated)",IF(K228&lt;=Assumptions!$B$6,"Protest required","Deadline passed — litigation only"))))</f>
        <v/>
      </c>
      <c r="M228" s="20" t="str">
        <f aca="false">IF(K228="","",IF(H228&lt;&gt;"",H228+Assumptions!$B$6,C228+Assumptions!$B$8+Assumptions!$B$6))</f>
        <v/>
      </c>
      <c r="N228" s="20" t="str">
        <f aca="false">IF(K228="","",IF(K228&lt;0,IF(H228&lt;&gt;"",H228+Assumptions!$B$7,C228+Assumptions!$B$8+Assumptions!$B$7),M228))</f>
        <v/>
      </c>
      <c r="O228" s="21" t="str">
        <f aca="false">IF(N228="","",N228-Assumptions!$D$5)</f>
        <v/>
      </c>
      <c r="P228" s="22"/>
      <c r="Q228" s="22"/>
      <c r="R228" s="18" t="str">
        <f aca="false">IF(Q228="","",Q228*IF(LEFT(L228,7)="Phase 1",Assumptions!$B$11,Assumptions!$B$12))</f>
        <v/>
      </c>
    </row>
    <row r="229" customFormat="false" ht="15" hidden="false" customHeight="true" outlineLevel="0" collapsed="false">
      <c r="C229" s="24"/>
      <c r="F229" s="22"/>
      <c r="G229" s="23"/>
      <c r="H229" s="24"/>
      <c r="J229" s="18" t="str">
        <f aca="false">IF(F229="","",F229*G229)</f>
        <v/>
      </c>
      <c r="K229" s="5" t="str">
        <f aca="false">IF(A229="","",IF(H229&lt;&gt;"",Assumptions!$D$5-H229,IF(C229="","",Assumptions!$D$5-(C229+Assumptions!$B$8))))</f>
        <v/>
      </c>
      <c r="L229" s="5" t="str">
        <f aca="false">IF(K229="","",IF(K229&lt;0,"Phase 1 (unliquidated)",IF(K229&lt;=Assumptions!$B$7,"Phase 1 (recently liquidated)",IF(K229&lt;=Assumptions!$B$6,"Protest required","Deadline passed — litigation only"))))</f>
        <v/>
      </c>
      <c r="M229" s="20" t="str">
        <f aca="false">IF(K229="","",IF(H229&lt;&gt;"",H229+Assumptions!$B$6,C229+Assumptions!$B$8+Assumptions!$B$6))</f>
        <v/>
      </c>
      <c r="N229" s="20" t="str">
        <f aca="false">IF(K229="","",IF(K229&lt;0,IF(H229&lt;&gt;"",H229+Assumptions!$B$7,C229+Assumptions!$B$8+Assumptions!$B$7),M229))</f>
        <v/>
      </c>
      <c r="O229" s="21" t="str">
        <f aca="false">IF(N229="","",N229-Assumptions!$D$5)</f>
        <v/>
      </c>
      <c r="P229" s="22"/>
      <c r="Q229" s="22"/>
      <c r="R229" s="18" t="str">
        <f aca="false">IF(Q229="","",Q229*IF(LEFT(L229,7)="Phase 1",Assumptions!$B$11,Assumptions!$B$12))</f>
        <v/>
      </c>
    </row>
    <row r="230" customFormat="false" ht="15" hidden="false" customHeight="true" outlineLevel="0" collapsed="false">
      <c r="C230" s="24"/>
      <c r="F230" s="22"/>
      <c r="G230" s="23"/>
      <c r="H230" s="24"/>
      <c r="J230" s="18" t="str">
        <f aca="false">IF(F230="","",F230*G230)</f>
        <v/>
      </c>
      <c r="K230" s="5" t="str">
        <f aca="false">IF(A230="","",IF(H230&lt;&gt;"",Assumptions!$D$5-H230,IF(C230="","",Assumptions!$D$5-(C230+Assumptions!$B$8))))</f>
        <v/>
      </c>
      <c r="L230" s="5" t="str">
        <f aca="false">IF(K230="","",IF(K230&lt;0,"Phase 1 (unliquidated)",IF(K230&lt;=Assumptions!$B$7,"Phase 1 (recently liquidated)",IF(K230&lt;=Assumptions!$B$6,"Protest required","Deadline passed — litigation only"))))</f>
        <v/>
      </c>
      <c r="M230" s="20" t="str">
        <f aca="false">IF(K230="","",IF(H230&lt;&gt;"",H230+Assumptions!$B$6,C230+Assumptions!$B$8+Assumptions!$B$6))</f>
        <v/>
      </c>
      <c r="N230" s="20" t="str">
        <f aca="false">IF(K230="","",IF(K230&lt;0,IF(H230&lt;&gt;"",H230+Assumptions!$B$7,C230+Assumptions!$B$8+Assumptions!$B$7),M230))</f>
        <v/>
      </c>
      <c r="O230" s="21" t="str">
        <f aca="false">IF(N230="","",N230-Assumptions!$D$5)</f>
        <v/>
      </c>
      <c r="P230" s="22"/>
      <c r="Q230" s="22"/>
      <c r="R230" s="18" t="str">
        <f aca="false">IF(Q230="","",Q230*IF(LEFT(L230,7)="Phase 1",Assumptions!$B$11,Assumptions!$B$12))</f>
        <v/>
      </c>
    </row>
    <row r="231" customFormat="false" ht="15" hidden="false" customHeight="true" outlineLevel="0" collapsed="false">
      <c r="C231" s="24"/>
      <c r="F231" s="22"/>
      <c r="G231" s="23"/>
      <c r="H231" s="24"/>
      <c r="J231" s="18" t="str">
        <f aca="false">IF(F231="","",F231*G231)</f>
        <v/>
      </c>
      <c r="K231" s="5" t="str">
        <f aca="false">IF(A231="","",IF(H231&lt;&gt;"",Assumptions!$D$5-H231,IF(C231="","",Assumptions!$D$5-(C231+Assumptions!$B$8))))</f>
        <v/>
      </c>
      <c r="L231" s="5" t="str">
        <f aca="false">IF(K231="","",IF(K231&lt;0,"Phase 1 (unliquidated)",IF(K231&lt;=Assumptions!$B$7,"Phase 1 (recently liquidated)",IF(K231&lt;=Assumptions!$B$6,"Protest required","Deadline passed — litigation only"))))</f>
        <v/>
      </c>
      <c r="M231" s="20" t="str">
        <f aca="false">IF(K231="","",IF(H231&lt;&gt;"",H231+Assumptions!$B$6,C231+Assumptions!$B$8+Assumptions!$B$6))</f>
        <v/>
      </c>
      <c r="N231" s="20" t="str">
        <f aca="false">IF(K231="","",IF(K231&lt;0,IF(H231&lt;&gt;"",H231+Assumptions!$B$7,C231+Assumptions!$B$8+Assumptions!$B$7),M231))</f>
        <v/>
      </c>
      <c r="O231" s="21" t="str">
        <f aca="false">IF(N231="","",N231-Assumptions!$D$5)</f>
        <v/>
      </c>
      <c r="P231" s="22"/>
      <c r="Q231" s="22"/>
      <c r="R231" s="18" t="str">
        <f aca="false">IF(Q231="","",Q231*IF(LEFT(L231,7)="Phase 1",Assumptions!$B$11,Assumptions!$B$12))</f>
        <v/>
      </c>
    </row>
    <row r="232" customFormat="false" ht="15" hidden="false" customHeight="true" outlineLevel="0" collapsed="false">
      <c r="C232" s="24"/>
      <c r="F232" s="22"/>
      <c r="G232" s="23"/>
      <c r="H232" s="24"/>
      <c r="J232" s="18" t="str">
        <f aca="false">IF(F232="","",F232*G232)</f>
        <v/>
      </c>
      <c r="K232" s="5" t="str">
        <f aca="false">IF(A232="","",IF(H232&lt;&gt;"",Assumptions!$D$5-H232,IF(C232="","",Assumptions!$D$5-(C232+Assumptions!$B$8))))</f>
        <v/>
      </c>
      <c r="L232" s="5" t="str">
        <f aca="false">IF(K232="","",IF(K232&lt;0,"Phase 1 (unliquidated)",IF(K232&lt;=Assumptions!$B$7,"Phase 1 (recently liquidated)",IF(K232&lt;=Assumptions!$B$6,"Protest required","Deadline passed — litigation only"))))</f>
        <v/>
      </c>
      <c r="M232" s="20" t="str">
        <f aca="false">IF(K232="","",IF(H232&lt;&gt;"",H232+Assumptions!$B$6,C232+Assumptions!$B$8+Assumptions!$B$6))</f>
        <v/>
      </c>
      <c r="N232" s="20" t="str">
        <f aca="false">IF(K232="","",IF(K232&lt;0,IF(H232&lt;&gt;"",H232+Assumptions!$B$7,C232+Assumptions!$B$8+Assumptions!$B$7),M232))</f>
        <v/>
      </c>
      <c r="O232" s="21" t="str">
        <f aca="false">IF(N232="","",N232-Assumptions!$D$5)</f>
        <v/>
      </c>
      <c r="P232" s="22"/>
      <c r="Q232" s="22"/>
      <c r="R232" s="18" t="str">
        <f aca="false">IF(Q232="","",Q232*IF(LEFT(L232,7)="Phase 1",Assumptions!$B$11,Assumptions!$B$12))</f>
        <v/>
      </c>
    </row>
    <row r="233" customFormat="false" ht="15" hidden="false" customHeight="true" outlineLevel="0" collapsed="false">
      <c r="C233" s="24"/>
      <c r="F233" s="22"/>
      <c r="G233" s="23"/>
      <c r="H233" s="24"/>
      <c r="J233" s="18" t="str">
        <f aca="false">IF(F233="","",F233*G233)</f>
        <v/>
      </c>
      <c r="K233" s="5" t="str">
        <f aca="false">IF(A233="","",IF(H233&lt;&gt;"",Assumptions!$D$5-H233,IF(C233="","",Assumptions!$D$5-(C233+Assumptions!$B$8))))</f>
        <v/>
      </c>
      <c r="L233" s="5" t="str">
        <f aca="false">IF(K233="","",IF(K233&lt;0,"Phase 1 (unliquidated)",IF(K233&lt;=Assumptions!$B$7,"Phase 1 (recently liquidated)",IF(K233&lt;=Assumptions!$B$6,"Protest required","Deadline passed — litigation only"))))</f>
        <v/>
      </c>
      <c r="M233" s="20" t="str">
        <f aca="false">IF(K233="","",IF(H233&lt;&gt;"",H233+Assumptions!$B$6,C233+Assumptions!$B$8+Assumptions!$B$6))</f>
        <v/>
      </c>
      <c r="N233" s="20" t="str">
        <f aca="false">IF(K233="","",IF(K233&lt;0,IF(H233&lt;&gt;"",H233+Assumptions!$B$7,C233+Assumptions!$B$8+Assumptions!$B$7),M233))</f>
        <v/>
      </c>
      <c r="O233" s="21" t="str">
        <f aca="false">IF(N233="","",N233-Assumptions!$D$5)</f>
        <v/>
      </c>
      <c r="P233" s="22"/>
      <c r="Q233" s="22"/>
      <c r="R233" s="18" t="str">
        <f aca="false">IF(Q233="","",Q233*IF(LEFT(L233,7)="Phase 1",Assumptions!$B$11,Assumptions!$B$12))</f>
        <v/>
      </c>
    </row>
    <row r="234" customFormat="false" ht="15" hidden="false" customHeight="true" outlineLevel="0" collapsed="false">
      <c r="C234" s="24"/>
      <c r="F234" s="22"/>
      <c r="G234" s="23"/>
      <c r="H234" s="24"/>
      <c r="J234" s="18" t="str">
        <f aca="false">IF(F234="","",F234*G234)</f>
        <v/>
      </c>
      <c r="K234" s="5" t="str">
        <f aca="false">IF(A234="","",IF(H234&lt;&gt;"",Assumptions!$D$5-H234,IF(C234="","",Assumptions!$D$5-(C234+Assumptions!$B$8))))</f>
        <v/>
      </c>
      <c r="L234" s="5" t="str">
        <f aca="false">IF(K234="","",IF(K234&lt;0,"Phase 1 (unliquidated)",IF(K234&lt;=Assumptions!$B$7,"Phase 1 (recently liquidated)",IF(K234&lt;=Assumptions!$B$6,"Protest required","Deadline passed — litigation only"))))</f>
        <v/>
      </c>
      <c r="M234" s="20" t="str">
        <f aca="false">IF(K234="","",IF(H234&lt;&gt;"",H234+Assumptions!$B$6,C234+Assumptions!$B$8+Assumptions!$B$6))</f>
        <v/>
      </c>
      <c r="N234" s="20" t="str">
        <f aca="false">IF(K234="","",IF(K234&lt;0,IF(H234&lt;&gt;"",H234+Assumptions!$B$7,C234+Assumptions!$B$8+Assumptions!$B$7),M234))</f>
        <v/>
      </c>
      <c r="O234" s="21" t="str">
        <f aca="false">IF(N234="","",N234-Assumptions!$D$5)</f>
        <v/>
      </c>
      <c r="P234" s="22"/>
      <c r="Q234" s="22"/>
      <c r="R234" s="18" t="str">
        <f aca="false">IF(Q234="","",Q234*IF(LEFT(L234,7)="Phase 1",Assumptions!$B$11,Assumptions!$B$12))</f>
        <v/>
      </c>
    </row>
    <row r="235" customFormat="false" ht="15" hidden="false" customHeight="true" outlineLevel="0" collapsed="false">
      <c r="C235" s="24"/>
      <c r="F235" s="22"/>
      <c r="G235" s="23"/>
      <c r="H235" s="24"/>
      <c r="J235" s="18" t="str">
        <f aca="false">IF(F235="","",F235*G235)</f>
        <v/>
      </c>
      <c r="K235" s="5" t="str">
        <f aca="false">IF(A235="","",IF(H235&lt;&gt;"",Assumptions!$D$5-H235,IF(C235="","",Assumptions!$D$5-(C235+Assumptions!$B$8))))</f>
        <v/>
      </c>
      <c r="L235" s="5" t="str">
        <f aca="false">IF(K235="","",IF(K235&lt;0,"Phase 1 (unliquidated)",IF(K235&lt;=Assumptions!$B$7,"Phase 1 (recently liquidated)",IF(K235&lt;=Assumptions!$B$6,"Protest required","Deadline passed — litigation only"))))</f>
        <v/>
      </c>
      <c r="M235" s="20" t="str">
        <f aca="false">IF(K235="","",IF(H235&lt;&gt;"",H235+Assumptions!$B$6,C235+Assumptions!$B$8+Assumptions!$B$6))</f>
        <v/>
      </c>
      <c r="N235" s="20" t="str">
        <f aca="false">IF(K235="","",IF(K235&lt;0,IF(H235&lt;&gt;"",H235+Assumptions!$B$7,C235+Assumptions!$B$8+Assumptions!$B$7),M235))</f>
        <v/>
      </c>
      <c r="O235" s="21" t="str">
        <f aca="false">IF(N235="","",N235-Assumptions!$D$5)</f>
        <v/>
      </c>
      <c r="P235" s="22"/>
      <c r="Q235" s="22"/>
      <c r="R235" s="18" t="str">
        <f aca="false">IF(Q235="","",Q235*IF(LEFT(L235,7)="Phase 1",Assumptions!$B$11,Assumptions!$B$12))</f>
        <v/>
      </c>
    </row>
    <row r="236" customFormat="false" ht="15" hidden="false" customHeight="true" outlineLevel="0" collapsed="false">
      <c r="C236" s="24"/>
      <c r="F236" s="22"/>
      <c r="G236" s="23"/>
      <c r="H236" s="24"/>
      <c r="J236" s="18" t="str">
        <f aca="false">IF(F236="","",F236*G236)</f>
        <v/>
      </c>
      <c r="K236" s="5" t="str">
        <f aca="false">IF(A236="","",IF(H236&lt;&gt;"",Assumptions!$D$5-H236,IF(C236="","",Assumptions!$D$5-(C236+Assumptions!$B$8))))</f>
        <v/>
      </c>
      <c r="L236" s="5" t="str">
        <f aca="false">IF(K236="","",IF(K236&lt;0,"Phase 1 (unliquidated)",IF(K236&lt;=Assumptions!$B$7,"Phase 1 (recently liquidated)",IF(K236&lt;=Assumptions!$B$6,"Protest required","Deadline passed — litigation only"))))</f>
        <v/>
      </c>
      <c r="M236" s="20" t="str">
        <f aca="false">IF(K236="","",IF(H236&lt;&gt;"",H236+Assumptions!$B$6,C236+Assumptions!$B$8+Assumptions!$B$6))</f>
        <v/>
      </c>
      <c r="N236" s="20" t="str">
        <f aca="false">IF(K236="","",IF(K236&lt;0,IF(H236&lt;&gt;"",H236+Assumptions!$B$7,C236+Assumptions!$B$8+Assumptions!$B$7),M236))</f>
        <v/>
      </c>
      <c r="O236" s="21" t="str">
        <f aca="false">IF(N236="","",N236-Assumptions!$D$5)</f>
        <v/>
      </c>
      <c r="P236" s="22"/>
      <c r="Q236" s="22"/>
      <c r="R236" s="18" t="str">
        <f aca="false">IF(Q236="","",Q236*IF(LEFT(L236,7)="Phase 1",Assumptions!$B$11,Assumptions!$B$12))</f>
        <v/>
      </c>
    </row>
    <row r="237" customFormat="false" ht="15" hidden="false" customHeight="true" outlineLevel="0" collapsed="false">
      <c r="C237" s="24"/>
      <c r="F237" s="22"/>
      <c r="G237" s="23"/>
      <c r="H237" s="24"/>
      <c r="J237" s="18" t="str">
        <f aca="false">IF(F237="","",F237*G237)</f>
        <v/>
      </c>
      <c r="K237" s="5" t="str">
        <f aca="false">IF(A237="","",IF(H237&lt;&gt;"",Assumptions!$D$5-H237,IF(C237="","",Assumptions!$D$5-(C237+Assumptions!$B$8))))</f>
        <v/>
      </c>
      <c r="L237" s="5" t="str">
        <f aca="false">IF(K237="","",IF(K237&lt;0,"Phase 1 (unliquidated)",IF(K237&lt;=Assumptions!$B$7,"Phase 1 (recently liquidated)",IF(K237&lt;=Assumptions!$B$6,"Protest required","Deadline passed — litigation only"))))</f>
        <v/>
      </c>
      <c r="M237" s="20" t="str">
        <f aca="false">IF(K237="","",IF(H237&lt;&gt;"",H237+Assumptions!$B$6,C237+Assumptions!$B$8+Assumptions!$B$6))</f>
        <v/>
      </c>
      <c r="N237" s="20" t="str">
        <f aca="false">IF(K237="","",IF(K237&lt;0,IF(H237&lt;&gt;"",H237+Assumptions!$B$7,C237+Assumptions!$B$8+Assumptions!$B$7),M237))</f>
        <v/>
      </c>
      <c r="O237" s="21" t="str">
        <f aca="false">IF(N237="","",N237-Assumptions!$D$5)</f>
        <v/>
      </c>
      <c r="P237" s="22"/>
      <c r="Q237" s="22"/>
      <c r="R237" s="18" t="str">
        <f aca="false">IF(Q237="","",Q237*IF(LEFT(L237,7)="Phase 1",Assumptions!$B$11,Assumptions!$B$12))</f>
        <v/>
      </c>
    </row>
    <row r="238" customFormat="false" ht="15" hidden="false" customHeight="true" outlineLevel="0" collapsed="false">
      <c r="C238" s="24"/>
      <c r="F238" s="22"/>
      <c r="G238" s="23"/>
      <c r="H238" s="24"/>
      <c r="J238" s="18" t="str">
        <f aca="false">IF(F238="","",F238*G238)</f>
        <v/>
      </c>
      <c r="K238" s="5" t="str">
        <f aca="false">IF(A238="","",IF(H238&lt;&gt;"",Assumptions!$D$5-H238,IF(C238="","",Assumptions!$D$5-(C238+Assumptions!$B$8))))</f>
        <v/>
      </c>
      <c r="L238" s="5" t="str">
        <f aca="false">IF(K238="","",IF(K238&lt;0,"Phase 1 (unliquidated)",IF(K238&lt;=Assumptions!$B$7,"Phase 1 (recently liquidated)",IF(K238&lt;=Assumptions!$B$6,"Protest required","Deadline passed — litigation only"))))</f>
        <v/>
      </c>
      <c r="M238" s="20" t="str">
        <f aca="false">IF(K238="","",IF(H238&lt;&gt;"",H238+Assumptions!$B$6,C238+Assumptions!$B$8+Assumptions!$B$6))</f>
        <v/>
      </c>
      <c r="N238" s="20" t="str">
        <f aca="false">IF(K238="","",IF(K238&lt;0,IF(H238&lt;&gt;"",H238+Assumptions!$B$7,C238+Assumptions!$B$8+Assumptions!$B$7),M238))</f>
        <v/>
      </c>
      <c r="O238" s="21" t="str">
        <f aca="false">IF(N238="","",N238-Assumptions!$D$5)</f>
        <v/>
      </c>
      <c r="P238" s="22"/>
      <c r="Q238" s="22"/>
      <c r="R238" s="18" t="str">
        <f aca="false">IF(Q238="","",Q238*IF(LEFT(L238,7)="Phase 1",Assumptions!$B$11,Assumptions!$B$12))</f>
        <v/>
      </c>
    </row>
    <row r="239" customFormat="false" ht="15" hidden="false" customHeight="true" outlineLevel="0" collapsed="false">
      <c r="C239" s="24"/>
      <c r="F239" s="22"/>
      <c r="G239" s="23"/>
      <c r="H239" s="24"/>
      <c r="J239" s="18" t="str">
        <f aca="false">IF(F239="","",F239*G239)</f>
        <v/>
      </c>
      <c r="K239" s="5" t="str">
        <f aca="false">IF(A239="","",IF(H239&lt;&gt;"",Assumptions!$D$5-H239,IF(C239="","",Assumptions!$D$5-(C239+Assumptions!$B$8))))</f>
        <v/>
      </c>
      <c r="L239" s="5" t="str">
        <f aca="false">IF(K239="","",IF(K239&lt;0,"Phase 1 (unliquidated)",IF(K239&lt;=Assumptions!$B$7,"Phase 1 (recently liquidated)",IF(K239&lt;=Assumptions!$B$6,"Protest required","Deadline passed — litigation only"))))</f>
        <v/>
      </c>
      <c r="M239" s="20" t="str">
        <f aca="false">IF(K239="","",IF(H239&lt;&gt;"",H239+Assumptions!$B$6,C239+Assumptions!$B$8+Assumptions!$B$6))</f>
        <v/>
      </c>
      <c r="N239" s="20" t="str">
        <f aca="false">IF(K239="","",IF(K239&lt;0,IF(H239&lt;&gt;"",H239+Assumptions!$B$7,C239+Assumptions!$B$8+Assumptions!$B$7),M239))</f>
        <v/>
      </c>
      <c r="O239" s="21" t="str">
        <f aca="false">IF(N239="","",N239-Assumptions!$D$5)</f>
        <v/>
      </c>
      <c r="P239" s="22"/>
      <c r="Q239" s="22"/>
      <c r="R239" s="18" t="str">
        <f aca="false">IF(Q239="","",Q239*IF(LEFT(L239,7)="Phase 1",Assumptions!$B$11,Assumptions!$B$12))</f>
        <v/>
      </c>
    </row>
    <row r="240" customFormat="false" ht="15" hidden="false" customHeight="true" outlineLevel="0" collapsed="false">
      <c r="C240" s="24"/>
      <c r="F240" s="22"/>
      <c r="G240" s="23"/>
      <c r="H240" s="24"/>
      <c r="J240" s="18" t="str">
        <f aca="false">IF(F240="","",F240*G240)</f>
        <v/>
      </c>
      <c r="K240" s="5" t="str">
        <f aca="false">IF(A240="","",IF(H240&lt;&gt;"",Assumptions!$D$5-H240,IF(C240="","",Assumptions!$D$5-(C240+Assumptions!$B$8))))</f>
        <v/>
      </c>
      <c r="L240" s="5" t="str">
        <f aca="false">IF(K240="","",IF(K240&lt;0,"Phase 1 (unliquidated)",IF(K240&lt;=Assumptions!$B$7,"Phase 1 (recently liquidated)",IF(K240&lt;=Assumptions!$B$6,"Protest required","Deadline passed — litigation only"))))</f>
        <v/>
      </c>
      <c r="M240" s="20" t="str">
        <f aca="false">IF(K240="","",IF(H240&lt;&gt;"",H240+Assumptions!$B$6,C240+Assumptions!$B$8+Assumptions!$B$6))</f>
        <v/>
      </c>
      <c r="N240" s="20" t="str">
        <f aca="false">IF(K240="","",IF(K240&lt;0,IF(H240&lt;&gt;"",H240+Assumptions!$B$7,C240+Assumptions!$B$8+Assumptions!$B$7),M240))</f>
        <v/>
      </c>
      <c r="O240" s="21" t="str">
        <f aca="false">IF(N240="","",N240-Assumptions!$D$5)</f>
        <v/>
      </c>
      <c r="P240" s="22"/>
      <c r="Q240" s="22"/>
      <c r="R240" s="18" t="str">
        <f aca="false">IF(Q240="","",Q240*IF(LEFT(L240,7)="Phase 1",Assumptions!$B$11,Assumptions!$B$12))</f>
        <v/>
      </c>
    </row>
    <row r="241" customFormat="false" ht="15" hidden="false" customHeight="true" outlineLevel="0" collapsed="false">
      <c r="C241" s="24"/>
      <c r="F241" s="22"/>
      <c r="G241" s="23"/>
      <c r="H241" s="24"/>
      <c r="J241" s="18" t="str">
        <f aca="false">IF(F241="","",F241*G241)</f>
        <v/>
      </c>
      <c r="K241" s="5" t="str">
        <f aca="false">IF(A241="","",IF(H241&lt;&gt;"",Assumptions!$D$5-H241,IF(C241="","",Assumptions!$D$5-(C241+Assumptions!$B$8))))</f>
        <v/>
      </c>
      <c r="L241" s="5" t="str">
        <f aca="false">IF(K241="","",IF(K241&lt;0,"Phase 1 (unliquidated)",IF(K241&lt;=Assumptions!$B$7,"Phase 1 (recently liquidated)",IF(K241&lt;=Assumptions!$B$6,"Protest required","Deadline passed — litigation only"))))</f>
        <v/>
      </c>
      <c r="M241" s="20" t="str">
        <f aca="false">IF(K241="","",IF(H241&lt;&gt;"",H241+Assumptions!$B$6,C241+Assumptions!$B$8+Assumptions!$B$6))</f>
        <v/>
      </c>
      <c r="N241" s="20" t="str">
        <f aca="false">IF(K241="","",IF(K241&lt;0,IF(H241&lt;&gt;"",H241+Assumptions!$B$7,C241+Assumptions!$B$8+Assumptions!$B$7),M241))</f>
        <v/>
      </c>
      <c r="O241" s="21" t="str">
        <f aca="false">IF(N241="","",N241-Assumptions!$D$5)</f>
        <v/>
      </c>
      <c r="P241" s="22"/>
      <c r="Q241" s="22"/>
      <c r="R241" s="18" t="str">
        <f aca="false">IF(Q241="","",Q241*IF(LEFT(L241,7)="Phase 1",Assumptions!$B$11,Assumptions!$B$12))</f>
        <v/>
      </c>
    </row>
    <row r="242" customFormat="false" ht="15" hidden="false" customHeight="true" outlineLevel="0" collapsed="false">
      <c r="C242" s="24"/>
      <c r="F242" s="22"/>
      <c r="G242" s="23"/>
      <c r="H242" s="24"/>
      <c r="J242" s="18" t="str">
        <f aca="false">IF(F242="","",F242*G242)</f>
        <v/>
      </c>
      <c r="K242" s="5" t="str">
        <f aca="false">IF(A242="","",IF(H242&lt;&gt;"",Assumptions!$D$5-H242,IF(C242="","",Assumptions!$D$5-(C242+Assumptions!$B$8))))</f>
        <v/>
      </c>
      <c r="L242" s="5" t="str">
        <f aca="false">IF(K242="","",IF(K242&lt;0,"Phase 1 (unliquidated)",IF(K242&lt;=Assumptions!$B$7,"Phase 1 (recently liquidated)",IF(K242&lt;=Assumptions!$B$6,"Protest required","Deadline passed — litigation only"))))</f>
        <v/>
      </c>
      <c r="M242" s="20" t="str">
        <f aca="false">IF(K242="","",IF(H242&lt;&gt;"",H242+Assumptions!$B$6,C242+Assumptions!$B$8+Assumptions!$B$6))</f>
        <v/>
      </c>
      <c r="N242" s="20" t="str">
        <f aca="false">IF(K242="","",IF(K242&lt;0,IF(H242&lt;&gt;"",H242+Assumptions!$B$7,C242+Assumptions!$B$8+Assumptions!$B$7),M242))</f>
        <v/>
      </c>
      <c r="O242" s="21" t="str">
        <f aca="false">IF(N242="","",N242-Assumptions!$D$5)</f>
        <v/>
      </c>
      <c r="P242" s="22"/>
      <c r="Q242" s="22"/>
      <c r="R242" s="18" t="str">
        <f aca="false">IF(Q242="","",Q242*IF(LEFT(L242,7)="Phase 1",Assumptions!$B$11,Assumptions!$B$12))</f>
        <v/>
      </c>
    </row>
    <row r="243" customFormat="false" ht="15" hidden="false" customHeight="true" outlineLevel="0" collapsed="false">
      <c r="C243" s="24"/>
      <c r="F243" s="22"/>
      <c r="G243" s="23"/>
      <c r="H243" s="24"/>
      <c r="J243" s="18" t="str">
        <f aca="false">IF(F243="","",F243*G243)</f>
        <v/>
      </c>
      <c r="K243" s="5" t="str">
        <f aca="false">IF(A243="","",IF(H243&lt;&gt;"",Assumptions!$D$5-H243,IF(C243="","",Assumptions!$D$5-(C243+Assumptions!$B$8))))</f>
        <v/>
      </c>
      <c r="L243" s="5" t="str">
        <f aca="false">IF(K243="","",IF(K243&lt;0,"Phase 1 (unliquidated)",IF(K243&lt;=Assumptions!$B$7,"Phase 1 (recently liquidated)",IF(K243&lt;=Assumptions!$B$6,"Protest required","Deadline passed — litigation only"))))</f>
        <v/>
      </c>
      <c r="M243" s="20" t="str">
        <f aca="false">IF(K243="","",IF(H243&lt;&gt;"",H243+Assumptions!$B$6,C243+Assumptions!$B$8+Assumptions!$B$6))</f>
        <v/>
      </c>
      <c r="N243" s="20" t="str">
        <f aca="false">IF(K243="","",IF(K243&lt;0,IF(H243&lt;&gt;"",H243+Assumptions!$B$7,C243+Assumptions!$B$8+Assumptions!$B$7),M243))</f>
        <v/>
      </c>
      <c r="O243" s="21" t="str">
        <f aca="false">IF(N243="","",N243-Assumptions!$D$5)</f>
        <v/>
      </c>
      <c r="P243" s="22"/>
      <c r="Q243" s="22"/>
      <c r="R243" s="18" t="str">
        <f aca="false">IF(Q243="","",Q243*IF(LEFT(L243,7)="Phase 1",Assumptions!$B$11,Assumptions!$B$12))</f>
        <v/>
      </c>
    </row>
    <row r="244" customFormat="false" ht="15" hidden="false" customHeight="true" outlineLevel="0" collapsed="false">
      <c r="C244" s="24"/>
      <c r="F244" s="22"/>
      <c r="G244" s="23"/>
      <c r="H244" s="24"/>
      <c r="J244" s="18" t="str">
        <f aca="false">IF(F244="","",F244*G244)</f>
        <v/>
      </c>
      <c r="K244" s="5" t="str">
        <f aca="false">IF(A244="","",IF(H244&lt;&gt;"",Assumptions!$D$5-H244,IF(C244="","",Assumptions!$D$5-(C244+Assumptions!$B$8))))</f>
        <v/>
      </c>
      <c r="L244" s="5" t="str">
        <f aca="false">IF(K244="","",IF(K244&lt;0,"Phase 1 (unliquidated)",IF(K244&lt;=Assumptions!$B$7,"Phase 1 (recently liquidated)",IF(K244&lt;=Assumptions!$B$6,"Protest required","Deadline passed — litigation only"))))</f>
        <v/>
      </c>
      <c r="M244" s="20" t="str">
        <f aca="false">IF(K244="","",IF(H244&lt;&gt;"",H244+Assumptions!$B$6,C244+Assumptions!$B$8+Assumptions!$B$6))</f>
        <v/>
      </c>
      <c r="N244" s="20" t="str">
        <f aca="false">IF(K244="","",IF(K244&lt;0,IF(H244&lt;&gt;"",H244+Assumptions!$B$7,C244+Assumptions!$B$8+Assumptions!$B$7),M244))</f>
        <v/>
      </c>
      <c r="O244" s="21" t="str">
        <f aca="false">IF(N244="","",N244-Assumptions!$D$5)</f>
        <v/>
      </c>
      <c r="P244" s="22"/>
      <c r="Q244" s="22"/>
      <c r="R244" s="18" t="str">
        <f aca="false">IF(Q244="","",Q244*IF(LEFT(L244,7)="Phase 1",Assumptions!$B$11,Assumptions!$B$12))</f>
        <v/>
      </c>
    </row>
    <row r="245" customFormat="false" ht="15" hidden="false" customHeight="true" outlineLevel="0" collapsed="false">
      <c r="C245" s="24"/>
      <c r="F245" s="22"/>
      <c r="G245" s="23"/>
      <c r="H245" s="24"/>
      <c r="J245" s="18" t="str">
        <f aca="false">IF(F245="","",F245*G245)</f>
        <v/>
      </c>
      <c r="K245" s="5" t="str">
        <f aca="false">IF(A245="","",IF(H245&lt;&gt;"",Assumptions!$D$5-H245,IF(C245="","",Assumptions!$D$5-(C245+Assumptions!$B$8))))</f>
        <v/>
      </c>
      <c r="L245" s="5" t="str">
        <f aca="false">IF(K245="","",IF(K245&lt;0,"Phase 1 (unliquidated)",IF(K245&lt;=Assumptions!$B$7,"Phase 1 (recently liquidated)",IF(K245&lt;=Assumptions!$B$6,"Protest required","Deadline passed — litigation only"))))</f>
        <v/>
      </c>
      <c r="M245" s="20" t="str">
        <f aca="false">IF(K245="","",IF(H245&lt;&gt;"",H245+Assumptions!$B$6,C245+Assumptions!$B$8+Assumptions!$B$6))</f>
        <v/>
      </c>
      <c r="N245" s="20" t="str">
        <f aca="false">IF(K245="","",IF(K245&lt;0,IF(H245&lt;&gt;"",H245+Assumptions!$B$7,C245+Assumptions!$B$8+Assumptions!$B$7),M245))</f>
        <v/>
      </c>
      <c r="O245" s="21" t="str">
        <f aca="false">IF(N245="","",N245-Assumptions!$D$5)</f>
        <v/>
      </c>
      <c r="P245" s="22"/>
      <c r="Q245" s="22"/>
      <c r="R245" s="18" t="str">
        <f aca="false">IF(Q245="","",Q245*IF(LEFT(L245,7)="Phase 1",Assumptions!$B$11,Assumptions!$B$12))</f>
        <v/>
      </c>
    </row>
    <row r="246" customFormat="false" ht="15" hidden="false" customHeight="true" outlineLevel="0" collapsed="false">
      <c r="C246" s="24"/>
      <c r="F246" s="22"/>
      <c r="G246" s="23"/>
      <c r="H246" s="24"/>
      <c r="J246" s="18" t="str">
        <f aca="false">IF(F246="","",F246*G246)</f>
        <v/>
      </c>
      <c r="K246" s="5" t="str">
        <f aca="false">IF(A246="","",IF(H246&lt;&gt;"",Assumptions!$D$5-H246,IF(C246="","",Assumptions!$D$5-(C246+Assumptions!$B$8))))</f>
        <v/>
      </c>
      <c r="L246" s="5" t="str">
        <f aca="false">IF(K246="","",IF(K246&lt;0,"Phase 1 (unliquidated)",IF(K246&lt;=Assumptions!$B$7,"Phase 1 (recently liquidated)",IF(K246&lt;=Assumptions!$B$6,"Protest required","Deadline passed — litigation only"))))</f>
        <v/>
      </c>
      <c r="M246" s="20" t="str">
        <f aca="false">IF(K246="","",IF(H246&lt;&gt;"",H246+Assumptions!$B$6,C246+Assumptions!$B$8+Assumptions!$B$6))</f>
        <v/>
      </c>
      <c r="N246" s="20" t="str">
        <f aca="false">IF(K246="","",IF(K246&lt;0,IF(H246&lt;&gt;"",H246+Assumptions!$B$7,C246+Assumptions!$B$8+Assumptions!$B$7),M246))</f>
        <v/>
      </c>
      <c r="O246" s="21" t="str">
        <f aca="false">IF(N246="","",N246-Assumptions!$D$5)</f>
        <v/>
      </c>
      <c r="P246" s="22"/>
      <c r="Q246" s="22"/>
      <c r="R246" s="18" t="str">
        <f aca="false">IF(Q246="","",Q246*IF(LEFT(L246,7)="Phase 1",Assumptions!$B$11,Assumptions!$B$12))</f>
        <v/>
      </c>
    </row>
    <row r="247" customFormat="false" ht="15" hidden="false" customHeight="true" outlineLevel="0" collapsed="false">
      <c r="C247" s="24"/>
      <c r="F247" s="22"/>
      <c r="G247" s="23"/>
      <c r="H247" s="24"/>
      <c r="J247" s="18" t="str">
        <f aca="false">IF(F247="","",F247*G247)</f>
        <v/>
      </c>
      <c r="K247" s="5" t="str">
        <f aca="false">IF(A247="","",IF(H247&lt;&gt;"",Assumptions!$D$5-H247,IF(C247="","",Assumptions!$D$5-(C247+Assumptions!$B$8))))</f>
        <v/>
      </c>
      <c r="L247" s="5" t="str">
        <f aca="false">IF(K247="","",IF(K247&lt;0,"Phase 1 (unliquidated)",IF(K247&lt;=Assumptions!$B$7,"Phase 1 (recently liquidated)",IF(K247&lt;=Assumptions!$B$6,"Protest required","Deadline passed — litigation only"))))</f>
        <v/>
      </c>
      <c r="M247" s="20" t="str">
        <f aca="false">IF(K247="","",IF(H247&lt;&gt;"",H247+Assumptions!$B$6,C247+Assumptions!$B$8+Assumptions!$B$6))</f>
        <v/>
      </c>
      <c r="N247" s="20" t="str">
        <f aca="false">IF(K247="","",IF(K247&lt;0,IF(H247&lt;&gt;"",H247+Assumptions!$B$7,C247+Assumptions!$B$8+Assumptions!$B$7),M247))</f>
        <v/>
      </c>
      <c r="O247" s="21" t="str">
        <f aca="false">IF(N247="","",N247-Assumptions!$D$5)</f>
        <v/>
      </c>
      <c r="P247" s="22"/>
      <c r="Q247" s="22"/>
      <c r="R247" s="18" t="str">
        <f aca="false">IF(Q247="","",Q247*IF(LEFT(L247,7)="Phase 1",Assumptions!$B$11,Assumptions!$B$12))</f>
        <v/>
      </c>
    </row>
    <row r="248" customFormat="false" ht="15" hidden="false" customHeight="true" outlineLevel="0" collapsed="false">
      <c r="C248" s="24"/>
      <c r="F248" s="22"/>
      <c r="G248" s="23"/>
      <c r="H248" s="24"/>
      <c r="J248" s="18" t="str">
        <f aca="false">IF(F248="","",F248*G248)</f>
        <v/>
      </c>
      <c r="K248" s="5" t="str">
        <f aca="false">IF(A248="","",IF(H248&lt;&gt;"",Assumptions!$D$5-H248,IF(C248="","",Assumptions!$D$5-(C248+Assumptions!$B$8))))</f>
        <v/>
      </c>
      <c r="L248" s="5" t="str">
        <f aca="false">IF(K248="","",IF(K248&lt;0,"Phase 1 (unliquidated)",IF(K248&lt;=Assumptions!$B$7,"Phase 1 (recently liquidated)",IF(K248&lt;=Assumptions!$B$6,"Protest required","Deadline passed — litigation only"))))</f>
        <v/>
      </c>
      <c r="M248" s="20" t="str">
        <f aca="false">IF(K248="","",IF(H248&lt;&gt;"",H248+Assumptions!$B$6,C248+Assumptions!$B$8+Assumptions!$B$6))</f>
        <v/>
      </c>
      <c r="N248" s="20" t="str">
        <f aca="false">IF(K248="","",IF(K248&lt;0,IF(H248&lt;&gt;"",H248+Assumptions!$B$7,C248+Assumptions!$B$8+Assumptions!$B$7),M248))</f>
        <v/>
      </c>
      <c r="O248" s="21" t="str">
        <f aca="false">IF(N248="","",N248-Assumptions!$D$5)</f>
        <v/>
      </c>
      <c r="P248" s="22"/>
      <c r="Q248" s="22"/>
      <c r="R248" s="18" t="str">
        <f aca="false">IF(Q248="","",Q248*IF(LEFT(L248,7)="Phase 1",Assumptions!$B$11,Assumptions!$B$12))</f>
        <v/>
      </c>
    </row>
    <row r="249" customFormat="false" ht="15" hidden="false" customHeight="true" outlineLevel="0" collapsed="false">
      <c r="C249" s="24"/>
      <c r="F249" s="22"/>
      <c r="G249" s="23"/>
      <c r="H249" s="24"/>
      <c r="J249" s="18" t="str">
        <f aca="false">IF(F249="","",F249*G249)</f>
        <v/>
      </c>
      <c r="K249" s="5" t="str">
        <f aca="false">IF(A249="","",IF(H249&lt;&gt;"",Assumptions!$D$5-H249,IF(C249="","",Assumptions!$D$5-(C249+Assumptions!$B$8))))</f>
        <v/>
      </c>
      <c r="L249" s="5" t="str">
        <f aca="false">IF(K249="","",IF(K249&lt;0,"Phase 1 (unliquidated)",IF(K249&lt;=Assumptions!$B$7,"Phase 1 (recently liquidated)",IF(K249&lt;=Assumptions!$B$6,"Protest required","Deadline passed — litigation only"))))</f>
        <v/>
      </c>
      <c r="M249" s="20" t="str">
        <f aca="false">IF(K249="","",IF(H249&lt;&gt;"",H249+Assumptions!$B$6,C249+Assumptions!$B$8+Assumptions!$B$6))</f>
        <v/>
      </c>
      <c r="N249" s="20" t="str">
        <f aca="false">IF(K249="","",IF(K249&lt;0,IF(H249&lt;&gt;"",H249+Assumptions!$B$7,C249+Assumptions!$B$8+Assumptions!$B$7),M249))</f>
        <v/>
      </c>
      <c r="O249" s="21" t="str">
        <f aca="false">IF(N249="","",N249-Assumptions!$D$5)</f>
        <v/>
      </c>
      <c r="P249" s="22"/>
      <c r="Q249" s="22"/>
      <c r="R249" s="18" t="str">
        <f aca="false">IF(Q249="","",Q249*IF(LEFT(L249,7)="Phase 1",Assumptions!$B$11,Assumptions!$B$12))</f>
        <v/>
      </c>
    </row>
    <row r="250" customFormat="false" ht="15" hidden="false" customHeight="true" outlineLevel="0" collapsed="false">
      <c r="C250" s="24"/>
      <c r="F250" s="22"/>
      <c r="G250" s="23"/>
      <c r="H250" s="24"/>
      <c r="J250" s="18" t="str">
        <f aca="false">IF(F250="","",F250*G250)</f>
        <v/>
      </c>
      <c r="K250" s="5" t="str">
        <f aca="false">IF(A250="","",IF(H250&lt;&gt;"",Assumptions!$D$5-H250,IF(C250="","",Assumptions!$D$5-(C250+Assumptions!$B$8))))</f>
        <v/>
      </c>
      <c r="L250" s="5" t="str">
        <f aca="false">IF(K250="","",IF(K250&lt;0,"Phase 1 (unliquidated)",IF(K250&lt;=Assumptions!$B$7,"Phase 1 (recently liquidated)",IF(K250&lt;=Assumptions!$B$6,"Protest required","Deadline passed — litigation only"))))</f>
        <v/>
      </c>
      <c r="M250" s="20" t="str">
        <f aca="false">IF(K250="","",IF(H250&lt;&gt;"",H250+Assumptions!$B$6,C250+Assumptions!$B$8+Assumptions!$B$6))</f>
        <v/>
      </c>
      <c r="N250" s="20" t="str">
        <f aca="false">IF(K250="","",IF(K250&lt;0,IF(H250&lt;&gt;"",H250+Assumptions!$B$7,C250+Assumptions!$B$8+Assumptions!$B$7),M250))</f>
        <v/>
      </c>
      <c r="O250" s="21" t="str">
        <f aca="false">IF(N250="","",N250-Assumptions!$D$5)</f>
        <v/>
      </c>
      <c r="P250" s="22"/>
      <c r="Q250" s="22"/>
      <c r="R250" s="18" t="str">
        <f aca="false">IF(Q250="","",Q250*IF(LEFT(L250,7)="Phase 1",Assumptions!$B$11,Assumptions!$B$12))</f>
        <v/>
      </c>
    </row>
    <row r="251" customFormat="false" ht="15" hidden="false" customHeight="true" outlineLevel="0" collapsed="false">
      <c r="C251" s="24"/>
      <c r="F251" s="22"/>
      <c r="G251" s="23"/>
      <c r="H251" s="24"/>
      <c r="J251" s="18" t="str">
        <f aca="false">IF(F251="","",F251*G251)</f>
        <v/>
      </c>
      <c r="K251" s="5" t="str">
        <f aca="false">IF(A251="","",IF(H251&lt;&gt;"",Assumptions!$D$5-H251,IF(C251="","",Assumptions!$D$5-(C251+Assumptions!$B$8))))</f>
        <v/>
      </c>
      <c r="L251" s="5" t="str">
        <f aca="false">IF(K251="","",IF(K251&lt;0,"Phase 1 (unliquidated)",IF(K251&lt;=Assumptions!$B$7,"Phase 1 (recently liquidated)",IF(K251&lt;=Assumptions!$B$6,"Protest required","Deadline passed — litigation only"))))</f>
        <v/>
      </c>
      <c r="M251" s="20" t="str">
        <f aca="false">IF(K251="","",IF(H251&lt;&gt;"",H251+Assumptions!$B$6,C251+Assumptions!$B$8+Assumptions!$B$6))</f>
        <v/>
      </c>
      <c r="N251" s="20" t="str">
        <f aca="false">IF(K251="","",IF(K251&lt;0,IF(H251&lt;&gt;"",H251+Assumptions!$B$7,C251+Assumptions!$B$8+Assumptions!$B$7),M251))</f>
        <v/>
      </c>
      <c r="O251" s="21" t="str">
        <f aca="false">IF(N251="","",N251-Assumptions!$D$5)</f>
        <v/>
      </c>
      <c r="P251" s="22"/>
      <c r="Q251" s="22"/>
      <c r="R251" s="18" t="str">
        <f aca="false">IF(Q251="","",Q251*IF(LEFT(L251,7)="Phase 1",Assumptions!$B$11,Assumptions!$B$12))</f>
        <v/>
      </c>
    </row>
    <row r="252" customFormat="false" ht="15" hidden="false" customHeight="true" outlineLevel="0" collapsed="false">
      <c r="C252" s="24"/>
      <c r="F252" s="22"/>
      <c r="G252" s="23"/>
      <c r="H252" s="24"/>
      <c r="J252" s="18" t="str">
        <f aca="false">IF(F252="","",F252*G252)</f>
        <v/>
      </c>
      <c r="K252" s="5" t="str">
        <f aca="false">IF(A252="","",IF(H252&lt;&gt;"",Assumptions!$D$5-H252,IF(C252="","",Assumptions!$D$5-(C252+Assumptions!$B$8))))</f>
        <v/>
      </c>
      <c r="L252" s="5" t="str">
        <f aca="false">IF(K252="","",IF(K252&lt;0,"Phase 1 (unliquidated)",IF(K252&lt;=Assumptions!$B$7,"Phase 1 (recently liquidated)",IF(K252&lt;=Assumptions!$B$6,"Protest required","Deadline passed — litigation only"))))</f>
        <v/>
      </c>
      <c r="M252" s="20" t="str">
        <f aca="false">IF(K252="","",IF(H252&lt;&gt;"",H252+Assumptions!$B$6,C252+Assumptions!$B$8+Assumptions!$B$6))</f>
        <v/>
      </c>
      <c r="N252" s="20" t="str">
        <f aca="false">IF(K252="","",IF(K252&lt;0,IF(H252&lt;&gt;"",H252+Assumptions!$B$7,C252+Assumptions!$B$8+Assumptions!$B$7),M252))</f>
        <v/>
      </c>
      <c r="O252" s="21" t="str">
        <f aca="false">IF(N252="","",N252-Assumptions!$D$5)</f>
        <v/>
      </c>
      <c r="P252" s="22"/>
      <c r="Q252" s="22"/>
      <c r="R252" s="18" t="str">
        <f aca="false">IF(Q252="","",Q252*IF(LEFT(L252,7)="Phase 1",Assumptions!$B$11,Assumptions!$B$12))</f>
        <v/>
      </c>
    </row>
    <row r="253" customFormat="false" ht="15" hidden="false" customHeight="true" outlineLevel="0" collapsed="false">
      <c r="C253" s="24"/>
      <c r="F253" s="22"/>
      <c r="G253" s="23"/>
      <c r="H253" s="24"/>
      <c r="J253" s="18" t="str">
        <f aca="false">IF(F253="","",F253*G253)</f>
        <v/>
      </c>
      <c r="K253" s="5" t="str">
        <f aca="false">IF(A253="","",IF(H253&lt;&gt;"",Assumptions!$D$5-H253,IF(C253="","",Assumptions!$D$5-(C253+Assumptions!$B$8))))</f>
        <v/>
      </c>
      <c r="L253" s="5" t="str">
        <f aca="false">IF(K253="","",IF(K253&lt;0,"Phase 1 (unliquidated)",IF(K253&lt;=Assumptions!$B$7,"Phase 1 (recently liquidated)",IF(K253&lt;=Assumptions!$B$6,"Protest required","Deadline passed — litigation only"))))</f>
        <v/>
      </c>
      <c r="M253" s="20" t="str">
        <f aca="false">IF(K253="","",IF(H253&lt;&gt;"",H253+Assumptions!$B$6,C253+Assumptions!$B$8+Assumptions!$B$6))</f>
        <v/>
      </c>
      <c r="N253" s="20" t="str">
        <f aca="false">IF(K253="","",IF(K253&lt;0,IF(H253&lt;&gt;"",H253+Assumptions!$B$7,C253+Assumptions!$B$8+Assumptions!$B$7),M253))</f>
        <v/>
      </c>
      <c r="O253" s="21" t="str">
        <f aca="false">IF(N253="","",N253-Assumptions!$D$5)</f>
        <v/>
      </c>
      <c r="P253" s="22"/>
      <c r="Q253" s="22"/>
      <c r="R253" s="18" t="str">
        <f aca="false">IF(Q253="","",Q253*IF(LEFT(L253,7)="Phase 1",Assumptions!$B$11,Assumptions!$B$12))</f>
        <v/>
      </c>
    </row>
    <row r="254" customFormat="false" ht="15" hidden="false" customHeight="true" outlineLevel="0" collapsed="false">
      <c r="C254" s="24"/>
      <c r="F254" s="22"/>
      <c r="G254" s="23"/>
      <c r="H254" s="24"/>
      <c r="J254" s="18" t="str">
        <f aca="false">IF(F254="","",F254*G254)</f>
        <v/>
      </c>
      <c r="K254" s="5" t="str">
        <f aca="false">IF(A254="","",IF(H254&lt;&gt;"",Assumptions!$D$5-H254,IF(C254="","",Assumptions!$D$5-(C254+Assumptions!$B$8))))</f>
        <v/>
      </c>
      <c r="L254" s="5" t="str">
        <f aca="false">IF(K254="","",IF(K254&lt;0,"Phase 1 (unliquidated)",IF(K254&lt;=Assumptions!$B$7,"Phase 1 (recently liquidated)",IF(K254&lt;=Assumptions!$B$6,"Protest required","Deadline passed — litigation only"))))</f>
        <v/>
      </c>
      <c r="M254" s="20" t="str">
        <f aca="false">IF(K254="","",IF(H254&lt;&gt;"",H254+Assumptions!$B$6,C254+Assumptions!$B$8+Assumptions!$B$6))</f>
        <v/>
      </c>
      <c r="N254" s="20" t="str">
        <f aca="false">IF(K254="","",IF(K254&lt;0,IF(H254&lt;&gt;"",H254+Assumptions!$B$7,C254+Assumptions!$B$8+Assumptions!$B$7),M254))</f>
        <v/>
      </c>
      <c r="O254" s="21" t="str">
        <f aca="false">IF(N254="","",N254-Assumptions!$D$5)</f>
        <v/>
      </c>
      <c r="P254" s="22"/>
      <c r="Q254" s="22"/>
      <c r="R254" s="18" t="str">
        <f aca="false">IF(Q254="","",Q254*IF(LEFT(L254,7)="Phase 1",Assumptions!$B$11,Assumptions!$B$12))</f>
        <v/>
      </c>
    </row>
    <row r="255" customFormat="false" ht="15" hidden="false" customHeight="true" outlineLevel="0" collapsed="false">
      <c r="C255" s="24"/>
      <c r="F255" s="22"/>
      <c r="G255" s="23"/>
      <c r="H255" s="24"/>
      <c r="J255" s="18" t="str">
        <f aca="false">IF(F255="","",F255*G255)</f>
        <v/>
      </c>
      <c r="K255" s="5" t="str">
        <f aca="false">IF(A255="","",IF(H255&lt;&gt;"",Assumptions!$D$5-H255,IF(C255="","",Assumptions!$D$5-(C255+Assumptions!$B$8))))</f>
        <v/>
      </c>
      <c r="L255" s="5" t="str">
        <f aca="false">IF(K255="","",IF(K255&lt;0,"Phase 1 (unliquidated)",IF(K255&lt;=Assumptions!$B$7,"Phase 1 (recently liquidated)",IF(K255&lt;=Assumptions!$B$6,"Protest required","Deadline passed — litigation only"))))</f>
        <v/>
      </c>
      <c r="M255" s="20" t="str">
        <f aca="false">IF(K255="","",IF(H255&lt;&gt;"",H255+Assumptions!$B$6,C255+Assumptions!$B$8+Assumptions!$B$6))</f>
        <v/>
      </c>
      <c r="N255" s="20" t="str">
        <f aca="false">IF(K255="","",IF(K255&lt;0,IF(H255&lt;&gt;"",H255+Assumptions!$B$7,C255+Assumptions!$B$8+Assumptions!$B$7),M255))</f>
        <v/>
      </c>
      <c r="O255" s="21" t="str">
        <f aca="false">IF(N255="","",N255-Assumptions!$D$5)</f>
        <v/>
      </c>
      <c r="P255" s="22"/>
      <c r="Q255" s="22"/>
      <c r="R255" s="18" t="str">
        <f aca="false">IF(Q255="","",Q255*IF(LEFT(L255,7)="Phase 1",Assumptions!$B$11,Assumptions!$B$12))</f>
        <v/>
      </c>
    </row>
    <row r="256" customFormat="false" ht="15" hidden="false" customHeight="true" outlineLevel="0" collapsed="false">
      <c r="C256" s="24"/>
      <c r="F256" s="22"/>
      <c r="G256" s="23"/>
      <c r="H256" s="24"/>
      <c r="J256" s="18" t="str">
        <f aca="false">IF(F256="","",F256*G256)</f>
        <v/>
      </c>
      <c r="K256" s="5" t="str">
        <f aca="false">IF(A256="","",IF(H256&lt;&gt;"",Assumptions!$D$5-H256,IF(C256="","",Assumptions!$D$5-(C256+Assumptions!$B$8))))</f>
        <v/>
      </c>
      <c r="L256" s="5" t="str">
        <f aca="false">IF(K256="","",IF(K256&lt;0,"Phase 1 (unliquidated)",IF(K256&lt;=Assumptions!$B$7,"Phase 1 (recently liquidated)",IF(K256&lt;=Assumptions!$B$6,"Protest required","Deadline passed — litigation only"))))</f>
        <v/>
      </c>
      <c r="M256" s="20" t="str">
        <f aca="false">IF(K256="","",IF(H256&lt;&gt;"",H256+Assumptions!$B$6,C256+Assumptions!$B$8+Assumptions!$B$6))</f>
        <v/>
      </c>
      <c r="N256" s="20" t="str">
        <f aca="false">IF(K256="","",IF(K256&lt;0,IF(H256&lt;&gt;"",H256+Assumptions!$B$7,C256+Assumptions!$B$8+Assumptions!$B$7),M256))</f>
        <v/>
      </c>
      <c r="O256" s="21" t="str">
        <f aca="false">IF(N256="","",N256-Assumptions!$D$5)</f>
        <v/>
      </c>
      <c r="P256" s="22"/>
      <c r="Q256" s="22"/>
      <c r="R256" s="18" t="str">
        <f aca="false">IF(Q256="","",Q256*IF(LEFT(L256,7)="Phase 1",Assumptions!$B$11,Assumptions!$B$12))</f>
        <v/>
      </c>
    </row>
    <row r="257" customFormat="false" ht="15" hidden="false" customHeight="true" outlineLevel="0" collapsed="false">
      <c r="C257" s="24"/>
      <c r="F257" s="22"/>
      <c r="G257" s="23"/>
      <c r="H257" s="24"/>
      <c r="J257" s="18" t="str">
        <f aca="false">IF(F257="","",F257*G257)</f>
        <v/>
      </c>
      <c r="K257" s="5" t="str">
        <f aca="false">IF(A257="","",IF(H257&lt;&gt;"",Assumptions!$D$5-H257,IF(C257="","",Assumptions!$D$5-(C257+Assumptions!$B$8))))</f>
        <v/>
      </c>
      <c r="L257" s="5" t="str">
        <f aca="false">IF(K257="","",IF(K257&lt;0,"Phase 1 (unliquidated)",IF(K257&lt;=Assumptions!$B$7,"Phase 1 (recently liquidated)",IF(K257&lt;=Assumptions!$B$6,"Protest required","Deadline passed — litigation only"))))</f>
        <v/>
      </c>
      <c r="M257" s="20" t="str">
        <f aca="false">IF(K257="","",IF(H257&lt;&gt;"",H257+Assumptions!$B$6,C257+Assumptions!$B$8+Assumptions!$B$6))</f>
        <v/>
      </c>
      <c r="N257" s="20" t="str">
        <f aca="false">IF(K257="","",IF(K257&lt;0,IF(H257&lt;&gt;"",H257+Assumptions!$B$7,C257+Assumptions!$B$8+Assumptions!$B$7),M257))</f>
        <v/>
      </c>
      <c r="O257" s="21" t="str">
        <f aca="false">IF(N257="","",N257-Assumptions!$D$5)</f>
        <v/>
      </c>
      <c r="P257" s="22"/>
      <c r="Q257" s="22"/>
      <c r="R257" s="18" t="str">
        <f aca="false">IF(Q257="","",Q257*IF(LEFT(L257,7)="Phase 1",Assumptions!$B$11,Assumptions!$B$12))</f>
        <v/>
      </c>
    </row>
    <row r="258" customFormat="false" ht="15" hidden="false" customHeight="true" outlineLevel="0" collapsed="false">
      <c r="C258" s="24"/>
      <c r="F258" s="22"/>
      <c r="G258" s="23"/>
      <c r="H258" s="24"/>
      <c r="J258" s="18" t="str">
        <f aca="false">IF(F258="","",F258*G258)</f>
        <v/>
      </c>
      <c r="K258" s="5" t="str">
        <f aca="false">IF(A258="","",IF(H258&lt;&gt;"",Assumptions!$D$5-H258,IF(C258="","",Assumptions!$D$5-(C258+Assumptions!$B$8))))</f>
        <v/>
      </c>
      <c r="L258" s="5" t="str">
        <f aca="false">IF(K258="","",IF(K258&lt;0,"Phase 1 (unliquidated)",IF(K258&lt;=Assumptions!$B$7,"Phase 1 (recently liquidated)",IF(K258&lt;=Assumptions!$B$6,"Protest required","Deadline passed — litigation only"))))</f>
        <v/>
      </c>
      <c r="M258" s="20" t="str">
        <f aca="false">IF(K258="","",IF(H258&lt;&gt;"",H258+Assumptions!$B$6,C258+Assumptions!$B$8+Assumptions!$B$6))</f>
        <v/>
      </c>
      <c r="N258" s="20" t="str">
        <f aca="false">IF(K258="","",IF(K258&lt;0,IF(H258&lt;&gt;"",H258+Assumptions!$B$7,C258+Assumptions!$B$8+Assumptions!$B$7),M258))</f>
        <v/>
      </c>
      <c r="O258" s="21" t="str">
        <f aca="false">IF(N258="","",N258-Assumptions!$D$5)</f>
        <v/>
      </c>
      <c r="P258" s="22"/>
      <c r="Q258" s="22"/>
      <c r="R258" s="18" t="str">
        <f aca="false">IF(Q258="","",Q258*IF(LEFT(L258,7)="Phase 1",Assumptions!$B$11,Assumptions!$B$12))</f>
        <v/>
      </c>
    </row>
    <row r="259" customFormat="false" ht="15" hidden="false" customHeight="true" outlineLevel="0" collapsed="false">
      <c r="C259" s="24"/>
      <c r="F259" s="22"/>
      <c r="G259" s="23"/>
      <c r="H259" s="24"/>
      <c r="J259" s="18" t="str">
        <f aca="false">IF(F259="","",F259*G259)</f>
        <v/>
      </c>
      <c r="K259" s="5" t="str">
        <f aca="false">IF(A259="","",IF(H259&lt;&gt;"",Assumptions!$D$5-H259,IF(C259="","",Assumptions!$D$5-(C259+Assumptions!$B$8))))</f>
        <v/>
      </c>
      <c r="L259" s="5" t="str">
        <f aca="false">IF(K259="","",IF(K259&lt;0,"Phase 1 (unliquidated)",IF(K259&lt;=Assumptions!$B$7,"Phase 1 (recently liquidated)",IF(K259&lt;=Assumptions!$B$6,"Protest required","Deadline passed — litigation only"))))</f>
        <v/>
      </c>
      <c r="M259" s="20" t="str">
        <f aca="false">IF(K259="","",IF(H259&lt;&gt;"",H259+Assumptions!$B$6,C259+Assumptions!$B$8+Assumptions!$B$6))</f>
        <v/>
      </c>
      <c r="N259" s="20" t="str">
        <f aca="false">IF(K259="","",IF(K259&lt;0,IF(H259&lt;&gt;"",H259+Assumptions!$B$7,C259+Assumptions!$B$8+Assumptions!$B$7),M259))</f>
        <v/>
      </c>
      <c r="O259" s="21" t="str">
        <f aca="false">IF(N259="","",N259-Assumptions!$D$5)</f>
        <v/>
      </c>
      <c r="P259" s="22"/>
      <c r="Q259" s="22"/>
      <c r="R259" s="18" t="str">
        <f aca="false">IF(Q259="","",Q259*IF(LEFT(L259,7)="Phase 1",Assumptions!$B$11,Assumptions!$B$12))</f>
        <v/>
      </c>
    </row>
    <row r="260" customFormat="false" ht="15" hidden="false" customHeight="true" outlineLevel="0" collapsed="false">
      <c r="C260" s="24"/>
      <c r="F260" s="22"/>
      <c r="G260" s="23"/>
      <c r="H260" s="24"/>
      <c r="J260" s="18" t="str">
        <f aca="false">IF(F260="","",F260*G260)</f>
        <v/>
      </c>
      <c r="K260" s="5" t="str">
        <f aca="false">IF(A260="","",IF(H260&lt;&gt;"",Assumptions!$D$5-H260,IF(C260="","",Assumptions!$D$5-(C260+Assumptions!$B$8))))</f>
        <v/>
      </c>
      <c r="L260" s="5" t="str">
        <f aca="false">IF(K260="","",IF(K260&lt;0,"Phase 1 (unliquidated)",IF(K260&lt;=Assumptions!$B$7,"Phase 1 (recently liquidated)",IF(K260&lt;=Assumptions!$B$6,"Protest required","Deadline passed — litigation only"))))</f>
        <v/>
      </c>
      <c r="M260" s="20" t="str">
        <f aca="false">IF(K260="","",IF(H260&lt;&gt;"",H260+Assumptions!$B$6,C260+Assumptions!$B$8+Assumptions!$B$6))</f>
        <v/>
      </c>
      <c r="N260" s="20" t="str">
        <f aca="false">IF(K260="","",IF(K260&lt;0,IF(H260&lt;&gt;"",H260+Assumptions!$B$7,C260+Assumptions!$B$8+Assumptions!$B$7),M260))</f>
        <v/>
      </c>
      <c r="O260" s="21" t="str">
        <f aca="false">IF(N260="","",N260-Assumptions!$D$5)</f>
        <v/>
      </c>
      <c r="P260" s="22"/>
      <c r="Q260" s="22"/>
      <c r="R260" s="18" t="str">
        <f aca="false">IF(Q260="","",Q260*IF(LEFT(L260,7)="Phase 1",Assumptions!$B$11,Assumptions!$B$12))</f>
        <v/>
      </c>
    </row>
    <row r="261" customFormat="false" ht="15" hidden="false" customHeight="true" outlineLevel="0" collapsed="false">
      <c r="C261" s="24"/>
      <c r="F261" s="22"/>
      <c r="G261" s="23"/>
      <c r="H261" s="24"/>
      <c r="J261" s="18" t="str">
        <f aca="false">IF(F261="","",F261*G261)</f>
        <v/>
      </c>
      <c r="K261" s="5" t="str">
        <f aca="false">IF(A261="","",IF(H261&lt;&gt;"",Assumptions!$D$5-H261,IF(C261="","",Assumptions!$D$5-(C261+Assumptions!$B$8))))</f>
        <v/>
      </c>
      <c r="L261" s="5" t="str">
        <f aca="false">IF(K261="","",IF(K261&lt;0,"Phase 1 (unliquidated)",IF(K261&lt;=Assumptions!$B$7,"Phase 1 (recently liquidated)",IF(K261&lt;=Assumptions!$B$6,"Protest required","Deadline passed — litigation only"))))</f>
        <v/>
      </c>
      <c r="M261" s="20" t="str">
        <f aca="false">IF(K261="","",IF(H261&lt;&gt;"",H261+Assumptions!$B$6,C261+Assumptions!$B$8+Assumptions!$B$6))</f>
        <v/>
      </c>
      <c r="N261" s="20" t="str">
        <f aca="false">IF(K261="","",IF(K261&lt;0,IF(H261&lt;&gt;"",H261+Assumptions!$B$7,C261+Assumptions!$B$8+Assumptions!$B$7),M261))</f>
        <v/>
      </c>
      <c r="O261" s="21" t="str">
        <f aca="false">IF(N261="","",N261-Assumptions!$D$5)</f>
        <v/>
      </c>
      <c r="P261" s="22"/>
      <c r="Q261" s="22"/>
      <c r="R261" s="18" t="str">
        <f aca="false">IF(Q261="","",Q261*IF(LEFT(L261,7)="Phase 1",Assumptions!$B$11,Assumptions!$B$12))</f>
        <v/>
      </c>
    </row>
    <row r="262" customFormat="false" ht="15" hidden="false" customHeight="true" outlineLevel="0" collapsed="false">
      <c r="C262" s="24"/>
      <c r="F262" s="22"/>
      <c r="G262" s="23"/>
      <c r="H262" s="24"/>
      <c r="J262" s="18" t="str">
        <f aca="false">IF(F262="","",F262*G262)</f>
        <v/>
      </c>
      <c r="K262" s="5" t="str">
        <f aca="false">IF(A262="","",IF(H262&lt;&gt;"",Assumptions!$D$5-H262,IF(C262="","",Assumptions!$D$5-(C262+Assumptions!$B$8))))</f>
        <v/>
      </c>
      <c r="L262" s="5" t="str">
        <f aca="false">IF(K262="","",IF(K262&lt;0,"Phase 1 (unliquidated)",IF(K262&lt;=Assumptions!$B$7,"Phase 1 (recently liquidated)",IF(K262&lt;=Assumptions!$B$6,"Protest required","Deadline passed — litigation only"))))</f>
        <v/>
      </c>
      <c r="M262" s="20" t="str">
        <f aca="false">IF(K262="","",IF(H262&lt;&gt;"",H262+Assumptions!$B$6,C262+Assumptions!$B$8+Assumptions!$B$6))</f>
        <v/>
      </c>
      <c r="N262" s="20" t="str">
        <f aca="false">IF(K262="","",IF(K262&lt;0,IF(H262&lt;&gt;"",H262+Assumptions!$B$7,C262+Assumptions!$B$8+Assumptions!$B$7),M262))</f>
        <v/>
      </c>
      <c r="O262" s="21" t="str">
        <f aca="false">IF(N262="","",N262-Assumptions!$D$5)</f>
        <v/>
      </c>
      <c r="P262" s="22"/>
      <c r="Q262" s="22"/>
      <c r="R262" s="18" t="str">
        <f aca="false">IF(Q262="","",Q262*IF(LEFT(L262,7)="Phase 1",Assumptions!$B$11,Assumptions!$B$12))</f>
        <v/>
      </c>
    </row>
    <row r="263" customFormat="false" ht="15" hidden="false" customHeight="true" outlineLevel="0" collapsed="false">
      <c r="C263" s="24"/>
      <c r="F263" s="22"/>
      <c r="G263" s="23"/>
      <c r="H263" s="24"/>
      <c r="J263" s="18" t="str">
        <f aca="false">IF(F263="","",F263*G263)</f>
        <v/>
      </c>
      <c r="K263" s="5" t="str">
        <f aca="false">IF(A263="","",IF(H263&lt;&gt;"",Assumptions!$D$5-H263,IF(C263="","",Assumptions!$D$5-(C263+Assumptions!$B$8))))</f>
        <v/>
      </c>
      <c r="L263" s="5" t="str">
        <f aca="false">IF(K263="","",IF(K263&lt;0,"Phase 1 (unliquidated)",IF(K263&lt;=Assumptions!$B$7,"Phase 1 (recently liquidated)",IF(K263&lt;=Assumptions!$B$6,"Protest required","Deadline passed — litigation only"))))</f>
        <v/>
      </c>
      <c r="M263" s="20" t="str">
        <f aca="false">IF(K263="","",IF(H263&lt;&gt;"",H263+Assumptions!$B$6,C263+Assumptions!$B$8+Assumptions!$B$6))</f>
        <v/>
      </c>
      <c r="N263" s="20" t="str">
        <f aca="false">IF(K263="","",IF(K263&lt;0,IF(H263&lt;&gt;"",H263+Assumptions!$B$7,C263+Assumptions!$B$8+Assumptions!$B$7),M263))</f>
        <v/>
      </c>
      <c r="O263" s="21" t="str">
        <f aca="false">IF(N263="","",N263-Assumptions!$D$5)</f>
        <v/>
      </c>
      <c r="P263" s="22"/>
      <c r="Q263" s="22"/>
      <c r="R263" s="18" t="str">
        <f aca="false">IF(Q263="","",Q263*IF(LEFT(L263,7)="Phase 1",Assumptions!$B$11,Assumptions!$B$12))</f>
        <v/>
      </c>
    </row>
    <row r="264" customFormat="false" ht="15" hidden="false" customHeight="true" outlineLevel="0" collapsed="false">
      <c r="C264" s="24"/>
      <c r="F264" s="22"/>
      <c r="G264" s="23"/>
      <c r="H264" s="24"/>
      <c r="J264" s="18" t="str">
        <f aca="false">IF(F264="","",F264*G264)</f>
        <v/>
      </c>
      <c r="K264" s="5" t="str">
        <f aca="false">IF(A264="","",IF(H264&lt;&gt;"",Assumptions!$D$5-H264,IF(C264="","",Assumptions!$D$5-(C264+Assumptions!$B$8))))</f>
        <v/>
      </c>
      <c r="L264" s="5" t="str">
        <f aca="false">IF(K264="","",IF(K264&lt;0,"Phase 1 (unliquidated)",IF(K264&lt;=Assumptions!$B$7,"Phase 1 (recently liquidated)",IF(K264&lt;=Assumptions!$B$6,"Protest required","Deadline passed — litigation only"))))</f>
        <v/>
      </c>
      <c r="M264" s="20" t="str">
        <f aca="false">IF(K264="","",IF(H264&lt;&gt;"",H264+Assumptions!$B$6,C264+Assumptions!$B$8+Assumptions!$B$6))</f>
        <v/>
      </c>
      <c r="N264" s="20" t="str">
        <f aca="false">IF(K264="","",IF(K264&lt;0,IF(H264&lt;&gt;"",H264+Assumptions!$B$7,C264+Assumptions!$B$8+Assumptions!$B$7),M264))</f>
        <v/>
      </c>
      <c r="O264" s="21" t="str">
        <f aca="false">IF(N264="","",N264-Assumptions!$D$5)</f>
        <v/>
      </c>
      <c r="P264" s="22"/>
      <c r="Q264" s="22"/>
      <c r="R264" s="18" t="str">
        <f aca="false">IF(Q264="","",Q264*IF(LEFT(L264,7)="Phase 1",Assumptions!$B$11,Assumptions!$B$12))</f>
        <v/>
      </c>
    </row>
    <row r="265" customFormat="false" ht="15" hidden="false" customHeight="true" outlineLevel="0" collapsed="false">
      <c r="C265" s="24"/>
      <c r="F265" s="22"/>
      <c r="G265" s="23"/>
      <c r="H265" s="24"/>
      <c r="J265" s="18" t="str">
        <f aca="false">IF(F265="","",F265*G265)</f>
        <v/>
      </c>
      <c r="K265" s="5" t="str">
        <f aca="false">IF(A265="","",IF(H265&lt;&gt;"",Assumptions!$D$5-H265,IF(C265="","",Assumptions!$D$5-(C265+Assumptions!$B$8))))</f>
        <v/>
      </c>
      <c r="L265" s="5" t="str">
        <f aca="false">IF(K265="","",IF(K265&lt;0,"Phase 1 (unliquidated)",IF(K265&lt;=Assumptions!$B$7,"Phase 1 (recently liquidated)",IF(K265&lt;=Assumptions!$B$6,"Protest required","Deadline passed — litigation only"))))</f>
        <v/>
      </c>
      <c r="M265" s="20" t="str">
        <f aca="false">IF(K265="","",IF(H265&lt;&gt;"",H265+Assumptions!$B$6,C265+Assumptions!$B$8+Assumptions!$B$6))</f>
        <v/>
      </c>
      <c r="N265" s="20" t="str">
        <f aca="false">IF(K265="","",IF(K265&lt;0,IF(H265&lt;&gt;"",H265+Assumptions!$B$7,C265+Assumptions!$B$8+Assumptions!$B$7),M265))</f>
        <v/>
      </c>
      <c r="O265" s="21" t="str">
        <f aca="false">IF(N265="","",N265-Assumptions!$D$5)</f>
        <v/>
      </c>
      <c r="P265" s="22"/>
      <c r="Q265" s="22"/>
      <c r="R265" s="18" t="str">
        <f aca="false">IF(Q265="","",Q265*IF(LEFT(L265,7)="Phase 1",Assumptions!$B$11,Assumptions!$B$12))</f>
        <v/>
      </c>
    </row>
    <row r="266" customFormat="false" ht="15" hidden="false" customHeight="true" outlineLevel="0" collapsed="false">
      <c r="C266" s="24"/>
      <c r="F266" s="22"/>
      <c r="G266" s="23"/>
      <c r="H266" s="24"/>
      <c r="J266" s="18" t="str">
        <f aca="false">IF(F266="","",F266*G266)</f>
        <v/>
      </c>
      <c r="K266" s="5" t="str">
        <f aca="false">IF(A266="","",IF(H266&lt;&gt;"",Assumptions!$D$5-H266,IF(C266="","",Assumptions!$D$5-(C266+Assumptions!$B$8))))</f>
        <v/>
      </c>
      <c r="L266" s="5" t="str">
        <f aca="false">IF(K266="","",IF(K266&lt;0,"Phase 1 (unliquidated)",IF(K266&lt;=Assumptions!$B$7,"Phase 1 (recently liquidated)",IF(K266&lt;=Assumptions!$B$6,"Protest required","Deadline passed — litigation only"))))</f>
        <v/>
      </c>
      <c r="M266" s="20" t="str">
        <f aca="false">IF(K266="","",IF(H266&lt;&gt;"",H266+Assumptions!$B$6,C266+Assumptions!$B$8+Assumptions!$B$6))</f>
        <v/>
      </c>
      <c r="N266" s="20" t="str">
        <f aca="false">IF(K266="","",IF(K266&lt;0,IF(H266&lt;&gt;"",H266+Assumptions!$B$7,C266+Assumptions!$B$8+Assumptions!$B$7),M266))</f>
        <v/>
      </c>
      <c r="O266" s="21" t="str">
        <f aca="false">IF(N266="","",N266-Assumptions!$D$5)</f>
        <v/>
      </c>
      <c r="P266" s="22"/>
      <c r="Q266" s="22"/>
      <c r="R266" s="18" t="str">
        <f aca="false">IF(Q266="","",Q266*IF(LEFT(L266,7)="Phase 1",Assumptions!$B$11,Assumptions!$B$12))</f>
        <v/>
      </c>
    </row>
    <row r="267" customFormat="false" ht="15" hidden="false" customHeight="true" outlineLevel="0" collapsed="false">
      <c r="C267" s="24"/>
      <c r="F267" s="22"/>
      <c r="G267" s="23"/>
      <c r="H267" s="24"/>
      <c r="J267" s="18" t="str">
        <f aca="false">IF(F267="","",F267*G267)</f>
        <v/>
      </c>
      <c r="K267" s="5" t="str">
        <f aca="false">IF(A267="","",IF(H267&lt;&gt;"",Assumptions!$D$5-H267,IF(C267="","",Assumptions!$D$5-(C267+Assumptions!$B$8))))</f>
        <v/>
      </c>
      <c r="L267" s="5" t="str">
        <f aca="false">IF(K267="","",IF(K267&lt;0,"Phase 1 (unliquidated)",IF(K267&lt;=Assumptions!$B$7,"Phase 1 (recently liquidated)",IF(K267&lt;=Assumptions!$B$6,"Protest required","Deadline passed — litigation only"))))</f>
        <v/>
      </c>
      <c r="M267" s="20" t="str">
        <f aca="false">IF(K267="","",IF(H267&lt;&gt;"",H267+Assumptions!$B$6,C267+Assumptions!$B$8+Assumptions!$B$6))</f>
        <v/>
      </c>
      <c r="N267" s="20" t="str">
        <f aca="false">IF(K267="","",IF(K267&lt;0,IF(H267&lt;&gt;"",H267+Assumptions!$B$7,C267+Assumptions!$B$8+Assumptions!$B$7),M267))</f>
        <v/>
      </c>
      <c r="O267" s="21" t="str">
        <f aca="false">IF(N267="","",N267-Assumptions!$D$5)</f>
        <v/>
      </c>
      <c r="P267" s="22"/>
      <c r="Q267" s="22"/>
      <c r="R267" s="18" t="str">
        <f aca="false">IF(Q267="","",Q267*IF(LEFT(L267,7)="Phase 1",Assumptions!$B$11,Assumptions!$B$12))</f>
        <v/>
      </c>
    </row>
    <row r="268" customFormat="false" ht="15" hidden="false" customHeight="true" outlineLevel="0" collapsed="false">
      <c r="C268" s="24"/>
      <c r="F268" s="22"/>
      <c r="G268" s="23"/>
      <c r="H268" s="24"/>
      <c r="J268" s="18" t="str">
        <f aca="false">IF(F268="","",F268*G268)</f>
        <v/>
      </c>
      <c r="K268" s="5" t="str">
        <f aca="false">IF(A268="","",IF(H268&lt;&gt;"",Assumptions!$D$5-H268,IF(C268="","",Assumptions!$D$5-(C268+Assumptions!$B$8))))</f>
        <v/>
      </c>
      <c r="L268" s="5" t="str">
        <f aca="false">IF(K268="","",IF(K268&lt;0,"Phase 1 (unliquidated)",IF(K268&lt;=Assumptions!$B$7,"Phase 1 (recently liquidated)",IF(K268&lt;=Assumptions!$B$6,"Protest required","Deadline passed — litigation only"))))</f>
        <v/>
      </c>
      <c r="M268" s="20" t="str">
        <f aca="false">IF(K268="","",IF(H268&lt;&gt;"",H268+Assumptions!$B$6,C268+Assumptions!$B$8+Assumptions!$B$6))</f>
        <v/>
      </c>
      <c r="N268" s="20" t="str">
        <f aca="false">IF(K268="","",IF(K268&lt;0,IF(H268&lt;&gt;"",H268+Assumptions!$B$7,C268+Assumptions!$B$8+Assumptions!$B$7),M268))</f>
        <v/>
      </c>
      <c r="O268" s="21" t="str">
        <f aca="false">IF(N268="","",N268-Assumptions!$D$5)</f>
        <v/>
      </c>
      <c r="P268" s="22"/>
      <c r="Q268" s="22"/>
      <c r="R268" s="18" t="str">
        <f aca="false">IF(Q268="","",Q268*IF(LEFT(L268,7)="Phase 1",Assumptions!$B$11,Assumptions!$B$12))</f>
        <v/>
      </c>
    </row>
    <row r="269" customFormat="false" ht="15" hidden="false" customHeight="true" outlineLevel="0" collapsed="false">
      <c r="C269" s="24"/>
      <c r="F269" s="22"/>
      <c r="G269" s="23"/>
      <c r="H269" s="24"/>
      <c r="J269" s="18" t="str">
        <f aca="false">IF(F269="","",F269*G269)</f>
        <v/>
      </c>
      <c r="K269" s="5" t="str">
        <f aca="false">IF(A269="","",IF(H269&lt;&gt;"",Assumptions!$D$5-H269,IF(C269="","",Assumptions!$D$5-(C269+Assumptions!$B$8))))</f>
        <v/>
      </c>
      <c r="L269" s="5" t="str">
        <f aca="false">IF(K269="","",IF(K269&lt;0,"Phase 1 (unliquidated)",IF(K269&lt;=Assumptions!$B$7,"Phase 1 (recently liquidated)",IF(K269&lt;=Assumptions!$B$6,"Protest required","Deadline passed — litigation only"))))</f>
        <v/>
      </c>
      <c r="M269" s="20" t="str">
        <f aca="false">IF(K269="","",IF(H269&lt;&gt;"",H269+Assumptions!$B$6,C269+Assumptions!$B$8+Assumptions!$B$6))</f>
        <v/>
      </c>
      <c r="N269" s="20" t="str">
        <f aca="false">IF(K269="","",IF(K269&lt;0,IF(H269&lt;&gt;"",H269+Assumptions!$B$7,C269+Assumptions!$B$8+Assumptions!$B$7),M269))</f>
        <v/>
      </c>
      <c r="O269" s="21" t="str">
        <f aca="false">IF(N269="","",N269-Assumptions!$D$5)</f>
        <v/>
      </c>
      <c r="P269" s="22"/>
      <c r="Q269" s="22"/>
      <c r="R269" s="18" t="str">
        <f aca="false">IF(Q269="","",Q269*IF(LEFT(L269,7)="Phase 1",Assumptions!$B$11,Assumptions!$B$12))</f>
        <v/>
      </c>
    </row>
    <row r="270" customFormat="false" ht="15" hidden="false" customHeight="true" outlineLevel="0" collapsed="false">
      <c r="C270" s="24"/>
      <c r="F270" s="22"/>
      <c r="G270" s="23"/>
      <c r="H270" s="24"/>
      <c r="J270" s="18" t="str">
        <f aca="false">IF(F270="","",F270*G270)</f>
        <v/>
      </c>
      <c r="K270" s="5" t="str">
        <f aca="false">IF(A270="","",IF(H270&lt;&gt;"",Assumptions!$D$5-H270,IF(C270="","",Assumptions!$D$5-(C270+Assumptions!$B$8))))</f>
        <v/>
      </c>
      <c r="L270" s="5" t="str">
        <f aca="false">IF(K270="","",IF(K270&lt;0,"Phase 1 (unliquidated)",IF(K270&lt;=Assumptions!$B$7,"Phase 1 (recently liquidated)",IF(K270&lt;=Assumptions!$B$6,"Protest required","Deadline passed — litigation only"))))</f>
        <v/>
      </c>
      <c r="M270" s="20" t="str">
        <f aca="false">IF(K270="","",IF(H270&lt;&gt;"",H270+Assumptions!$B$6,C270+Assumptions!$B$8+Assumptions!$B$6))</f>
        <v/>
      </c>
      <c r="N270" s="20" t="str">
        <f aca="false">IF(K270="","",IF(K270&lt;0,IF(H270&lt;&gt;"",H270+Assumptions!$B$7,C270+Assumptions!$B$8+Assumptions!$B$7),M270))</f>
        <v/>
      </c>
      <c r="O270" s="21" t="str">
        <f aca="false">IF(N270="","",N270-Assumptions!$D$5)</f>
        <v/>
      </c>
      <c r="P270" s="22"/>
      <c r="Q270" s="22"/>
      <c r="R270" s="18" t="str">
        <f aca="false">IF(Q270="","",Q270*IF(LEFT(L270,7)="Phase 1",Assumptions!$B$11,Assumptions!$B$12))</f>
        <v/>
      </c>
    </row>
    <row r="271" customFormat="false" ht="15" hidden="false" customHeight="true" outlineLevel="0" collapsed="false">
      <c r="C271" s="24"/>
      <c r="F271" s="22"/>
      <c r="G271" s="23"/>
      <c r="H271" s="24"/>
      <c r="J271" s="18" t="str">
        <f aca="false">IF(F271="","",F271*G271)</f>
        <v/>
      </c>
      <c r="K271" s="5" t="str">
        <f aca="false">IF(A271="","",IF(H271&lt;&gt;"",Assumptions!$D$5-H271,IF(C271="","",Assumptions!$D$5-(C271+Assumptions!$B$8))))</f>
        <v/>
      </c>
      <c r="L271" s="5" t="str">
        <f aca="false">IF(K271="","",IF(K271&lt;0,"Phase 1 (unliquidated)",IF(K271&lt;=Assumptions!$B$7,"Phase 1 (recently liquidated)",IF(K271&lt;=Assumptions!$B$6,"Protest required","Deadline passed — litigation only"))))</f>
        <v/>
      </c>
      <c r="M271" s="20" t="str">
        <f aca="false">IF(K271="","",IF(H271&lt;&gt;"",H271+Assumptions!$B$6,C271+Assumptions!$B$8+Assumptions!$B$6))</f>
        <v/>
      </c>
      <c r="N271" s="20" t="str">
        <f aca="false">IF(K271="","",IF(K271&lt;0,IF(H271&lt;&gt;"",H271+Assumptions!$B$7,C271+Assumptions!$B$8+Assumptions!$B$7),M271))</f>
        <v/>
      </c>
      <c r="O271" s="21" t="str">
        <f aca="false">IF(N271="","",N271-Assumptions!$D$5)</f>
        <v/>
      </c>
      <c r="P271" s="22"/>
      <c r="Q271" s="22"/>
      <c r="R271" s="18" t="str">
        <f aca="false">IF(Q271="","",Q271*IF(LEFT(L271,7)="Phase 1",Assumptions!$B$11,Assumptions!$B$12))</f>
        <v/>
      </c>
    </row>
    <row r="272" customFormat="false" ht="15" hidden="false" customHeight="true" outlineLevel="0" collapsed="false">
      <c r="C272" s="24"/>
      <c r="F272" s="22"/>
      <c r="G272" s="23"/>
      <c r="H272" s="24"/>
      <c r="J272" s="18" t="str">
        <f aca="false">IF(F272="","",F272*G272)</f>
        <v/>
      </c>
      <c r="K272" s="5" t="str">
        <f aca="false">IF(A272="","",IF(H272&lt;&gt;"",Assumptions!$D$5-H272,IF(C272="","",Assumptions!$D$5-(C272+Assumptions!$B$8))))</f>
        <v/>
      </c>
      <c r="L272" s="5" t="str">
        <f aca="false">IF(K272="","",IF(K272&lt;0,"Phase 1 (unliquidated)",IF(K272&lt;=Assumptions!$B$7,"Phase 1 (recently liquidated)",IF(K272&lt;=Assumptions!$B$6,"Protest required","Deadline passed — litigation only"))))</f>
        <v/>
      </c>
      <c r="M272" s="20" t="str">
        <f aca="false">IF(K272="","",IF(H272&lt;&gt;"",H272+Assumptions!$B$6,C272+Assumptions!$B$8+Assumptions!$B$6))</f>
        <v/>
      </c>
      <c r="N272" s="20" t="str">
        <f aca="false">IF(K272="","",IF(K272&lt;0,IF(H272&lt;&gt;"",H272+Assumptions!$B$7,C272+Assumptions!$B$8+Assumptions!$B$7),M272))</f>
        <v/>
      </c>
      <c r="O272" s="21" t="str">
        <f aca="false">IF(N272="","",N272-Assumptions!$D$5)</f>
        <v/>
      </c>
      <c r="P272" s="22"/>
      <c r="Q272" s="22"/>
      <c r="R272" s="18" t="str">
        <f aca="false">IF(Q272="","",Q272*IF(LEFT(L272,7)="Phase 1",Assumptions!$B$11,Assumptions!$B$12))</f>
        <v/>
      </c>
    </row>
    <row r="273" customFormat="false" ht="15" hidden="false" customHeight="true" outlineLevel="0" collapsed="false">
      <c r="C273" s="24"/>
      <c r="F273" s="22"/>
      <c r="G273" s="23"/>
      <c r="H273" s="24"/>
      <c r="J273" s="18" t="str">
        <f aca="false">IF(F273="","",F273*G273)</f>
        <v/>
      </c>
      <c r="K273" s="5" t="str">
        <f aca="false">IF(A273="","",IF(H273&lt;&gt;"",Assumptions!$D$5-H273,IF(C273="","",Assumptions!$D$5-(C273+Assumptions!$B$8))))</f>
        <v/>
      </c>
      <c r="L273" s="5" t="str">
        <f aca="false">IF(K273="","",IF(K273&lt;0,"Phase 1 (unliquidated)",IF(K273&lt;=Assumptions!$B$7,"Phase 1 (recently liquidated)",IF(K273&lt;=Assumptions!$B$6,"Protest required","Deadline passed — litigation only"))))</f>
        <v/>
      </c>
      <c r="M273" s="20" t="str">
        <f aca="false">IF(K273="","",IF(H273&lt;&gt;"",H273+Assumptions!$B$6,C273+Assumptions!$B$8+Assumptions!$B$6))</f>
        <v/>
      </c>
      <c r="N273" s="20" t="str">
        <f aca="false">IF(K273="","",IF(K273&lt;0,IF(H273&lt;&gt;"",H273+Assumptions!$B$7,C273+Assumptions!$B$8+Assumptions!$B$7),M273))</f>
        <v/>
      </c>
      <c r="O273" s="21" t="str">
        <f aca="false">IF(N273="","",N273-Assumptions!$D$5)</f>
        <v/>
      </c>
      <c r="P273" s="22"/>
      <c r="Q273" s="22"/>
      <c r="R273" s="18" t="str">
        <f aca="false">IF(Q273="","",Q273*IF(LEFT(L273,7)="Phase 1",Assumptions!$B$11,Assumptions!$B$12))</f>
        <v/>
      </c>
    </row>
    <row r="274" customFormat="false" ht="15" hidden="false" customHeight="true" outlineLevel="0" collapsed="false">
      <c r="C274" s="24"/>
      <c r="F274" s="22"/>
      <c r="G274" s="23"/>
      <c r="H274" s="24"/>
      <c r="J274" s="18" t="str">
        <f aca="false">IF(F274="","",F274*G274)</f>
        <v/>
      </c>
      <c r="K274" s="5" t="str">
        <f aca="false">IF(A274="","",IF(H274&lt;&gt;"",Assumptions!$D$5-H274,IF(C274="","",Assumptions!$D$5-(C274+Assumptions!$B$8))))</f>
        <v/>
      </c>
      <c r="L274" s="5" t="str">
        <f aca="false">IF(K274="","",IF(K274&lt;0,"Phase 1 (unliquidated)",IF(K274&lt;=Assumptions!$B$7,"Phase 1 (recently liquidated)",IF(K274&lt;=Assumptions!$B$6,"Protest required","Deadline passed — litigation only"))))</f>
        <v/>
      </c>
      <c r="M274" s="20" t="str">
        <f aca="false">IF(K274="","",IF(H274&lt;&gt;"",H274+Assumptions!$B$6,C274+Assumptions!$B$8+Assumptions!$B$6))</f>
        <v/>
      </c>
      <c r="N274" s="20" t="str">
        <f aca="false">IF(K274="","",IF(K274&lt;0,IF(H274&lt;&gt;"",H274+Assumptions!$B$7,C274+Assumptions!$B$8+Assumptions!$B$7),M274))</f>
        <v/>
      </c>
      <c r="O274" s="21" t="str">
        <f aca="false">IF(N274="","",N274-Assumptions!$D$5)</f>
        <v/>
      </c>
      <c r="P274" s="22"/>
      <c r="Q274" s="22"/>
      <c r="R274" s="18" t="str">
        <f aca="false">IF(Q274="","",Q274*IF(LEFT(L274,7)="Phase 1",Assumptions!$B$11,Assumptions!$B$12))</f>
        <v/>
      </c>
    </row>
    <row r="275" customFormat="false" ht="15" hidden="false" customHeight="true" outlineLevel="0" collapsed="false">
      <c r="C275" s="24"/>
      <c r="F275" s="22"/>
      <c r="G275" s="23"/>
      <c r="H275" s="24"/>
      <c r="J275" s="18" t="str">
        <f aca="false">IF(F275="","",F275*G275)</f>
        <v/>
      </c>
      <c r="K275" s="5" t="str">
        <f aca="false">IF(A275="","",IF(H275&lt;&gt;"",Assumptions!$D$5-H275,IF(C275="","",Assumptions!$D$5-(C275+Assumptions!$B$8))))</f>
        <v/>
      </c>
      <c r="L275" s="5" t="str">
        <f aca="false">IF(K275="","",IF(K275&lt;0,"Phase 1 (unliquidated)",IF(K275&lt;=Assumptions!$B$7,"Phase 1 (recently liquidated)",IF(K275&lt;=Assumptions!$B$6,"Protest required","Deadline passed — litigation only"))))</f>
        <v/>
      </c>
      <c r="M275" s="20" t="str">
        <f aca="false">IF(K275="","",IF(H275&lt;&gt;"",H275+Assumptions!$B$6,C275+Assumptions!$B$8+Assumptions!$B$6))</f>
        <v/>
      </c>
      <c r="N275" s="20" t="str">
        <f aca="false">IF(K275="","",IF(K275&lt;0,IF(H275&lt;&gt;"",H275+Assumptions!$B$7,C275+Assumptions!$B$8+Assumptions!$B$7),M275))</f>
        <v/>
      </c>
      <c r="O275" s="21" t="str">
        <f aca="false">IF(N275="","",N275-Assumptions!$D$5)</f>
        <v/>
      </c>
      <c r="P275" s="22"/>
      <c r="Q275" s="22"/>
      <c r="R275" s="18" t="str">
        <f aca="false">IF(Q275="","",Q275*IF(LEFT(L275,7)="Phase 1",Assumptions!$B$11,Assumptions!$B$12))</f>
        <v/>
      </c>
    </row>
    <row r="276" customFormat="false" ht="15" hidden="false" customHeight="true" outlineLevel="0" collapsed="false">
      <c r="C276" s="24"/>
      <c r="F276" s="22"/>
      <c r="G276" s="23"/>
      <c r="H276" s="24"/>
      <c r="J276" s="18" t="str">
        <f aca="false">IF(F276="","",F276*G276)</f>
        <v/>
      </c>
      <c r="K276" s="5" t="str">
        <f aca="false">IF(A276="","",IF(H276&lt;&gt;"",Assumptions!$D$5-H276,IF(C276="","",Assumptions!$D$5-(C276+Assumptions!$B$8))))</f>
        <v/>
      </c>
      <c r="L276" s="5" t="str">
        <f aca="false">IF(K276="","",IF(K276&lt;0,"Phase 1 (unliquidated)",IF(K276&lt;=Assumptions!$B$7,"Phase 1 (recently liquidated)",IF(K276&lt;=Assumptions!$B$6,"Protest required","Deadline passed — litigation only"))))</f>
        <v/>
      </c>
      <c r="M276" s="20" t="str">
        <f aca="false">IF(K276="","",IF(H276&lt;&gt;"",H276+Assumptions!$B$6,C276+Assumptions!$B$8+Assumptions!$B$6))</f>
        <v/>
      </c>
      <c r="N276" s="20" t="str">
        <f aca="false">IF(K276="","",IF(K276&lt;0,IF(H276&lt;&gt;"",H276+Assumptions!$B$7,C276+Assumptions!$B$8+Assumptions!$B$7),M276))</f>
        <v/>
      </c>
      <c r="O276" s="21" t="str">
        <f aca="false">IF(N276="","",N276-Assumptions!$D$5)</f>
        <v/>
      </c>
      <c r="P276" s="22"/>
      <c r="Q276" s="22"/>
      <c r="R276" s="18" t="str">
        <f aca="false">IF(Q276="","",Q276*IF(LEFT(L276,7)="Phase 1",Assumptions!$B$11,Assumptions!$B$12))</f>
        <v/>
      </c>
    </row>
    <row r="277" customFormat="false" ht="15" hidden="false" customHeight="true" outlineLevel="0" collapsed="false">
      <c r="C277" s="24"/>
      <c r="F277" s="22"/>
      <c r="G277" s="23"/>
      <c r="H277" s="24"/>
      <c r="J277" s="18" t="str">
        <f aca="false">IF(F277="","",F277*G277)</f>
        <v/>
      </c>
      <c r="K277" s="5" t="str">
        <f aca="false">IF(A277="","",IF(H277&lt;&gt;"",Assumptions!$D$5-H277,IF(C277="","",Assumptions!$D$5-(C277+Assumptions!$B$8))))</f>
        <v/>
      </c>
      <c r="L277" s="5" t="str">
        <f aca="false">IF(K277="","",IF(K277&lt;0,"Phase 1 (unliquidated)",IF(K277&lt;=Assumptions!$B$7,"Phase 1 (recently liquidated)",IF(K277&lt;=Assumptions!$B$6,"Protest required","Deadline passed — litigation only"))))</f>
        <v/>
      </c>
      <c r="M277" s="20" t="str">
        <f aca="false">IF(K277="","",IF(H277&lt;&gt;"",H277+Assumptions!$B$6,C277+Assumptions!$B$8+Assumptions!$B$6))</f>
        <v/>
      </c>
      <c r="N277" s="20" t="str">
        <f aca="false">IF(K277="","",IF(K277&lt;0,IF(H277&lt;&gt;"",H277+Assumptions!$B$7,C277+Assumptions!$B$8+Assumptions!$B$7),M277))</f>
        <v/>
      </c>
      <c r="O277" s="21" t="str">
        <f aca="false">IF(N277="","",N277-Assumptions!$D$5)</f>
        <v/>
      </c>
      <c r="P277" s="22"/>
      <c r="Q277" s="22"/>
      <c r="R277" s="18" t="str">
        <f aca="false">IF(Q277="","",Q277*IF(LEFT(L277,7)="Phase 1",Assumptions!$B$11,Assumptions!$B$12))</f>
        <v/>
      </c>
    </row>
    <row r="278" customFormat="false" ht="15" hidden="false" customHeight="true" outlineLevel="0" collapsed="false">
      <c r="C278" s="24"/>
      <c r="F278" s="22"/>
      <c r="G278" s="23"/>
      <c r="H278" s="24"/>
      <c r="J278" s="18" t="str">
        <f aca="false">IF(F278="","",F278*G278)</f>
        <v/>
      </c>
      <c r="K278" s="5" t="str">
        <f aca="false">IF(A278="","",IF(H278&lt;&gt;"",Assumptions!$D$5-H278,IF(C278="","",Assumptions!$D$5-(C278+Assumptions!$B$8))))</f>
        <v/>
      </c>
      <c r="L278" s="5" t="str">
        <f aca="false">IF(K278="","",IF(K278&lt;0,"Phase 1 (unliquidated)",IF(K278&lt;=Assumptions!$B$7,"Phase 1 (recently liquidated)",IF(K278&lt;=Assumptions!$B$6,"Protest required","Deadline passed — litigation only"))))</f>
        <v/>
      </c>
      <c r="M278" s="20" t="str">
        <f aca="false">IF(K278="","",IF(H278&lt;&gt;"",H278+Assumptions!$B$6,C278+Assumptions!$B$8+Assumptions!$B$6))</f>
        <v/>
      </c>
      <c r="N278" s="20" t="str">
        <f aca="false">IF(K278="","",IF(K278&lt;0,IF(H278&lt;&gt;"",H278+Assumptions!$B$7,C278+Assumptions!$B$8+Assumptions!$B$7),M278))</f>
        <v/>
      </c>
      <c r="O278" s="21" t="str">
        <f aca="false">IF(N278="","",N278-Assumptions!$D$5)</f>
        <v/>
      </c>
      <c r="P278" s="22"/>
      <c r="Q278" s="22"/>
      <c r="R278" s="18" t="str">
        <f aca="false">IF(Q278="","",Q278*IF(LEFT(L278,7)="Phase 1",Assumptions!$B$11,Assumptions!$B$12))</f>
        <v/>
      </c>
    </row>
    <row r="279" customFormat="false" ht="15" hidden="false" customHeight="true" outlineLevel="0" collapsed="false">
      <c r="C279" s="24"/>
      <c r="F279" s="22"/>
      <c r="G279" s="23"/>
      <c r="H279" s="24"/>
      <c r="J279" s="18" t="str">
        <f aca="false">IF(F279="","",F279*G279)</f>
        <v/>
      </c>
      <c r="K279" s="5" t="str">
        <f aca="false">IF(A279="","",IF(H279&lt;&gt;"",Assumptions!$D$5-H279,IF(C279="","",Assumptions!$D$5-(C279+Assumptions!$B$8))))</f>
        <v/>
      </c>
      <c r="L279" s="5" t="str">
        <f aca="false">IF(K279="","",IF(K279&lt;0,"Phase 1 (unliquidated)",IF(K279&lt;=Assumptions!$B$7,"Phase 1 (recently liquidated)",IF(K279&lt;=Assumptions!$B$6,"Protest required","Deadline passed — litigation only"))))</f>
        <v/>
      </c>
      <c r="M279" s="20" t="str">
        <f aca="false">IF(K279="","",IF(H279&lt;&gt;"",H279+Assumptions!$B$6,C279+Assumptions!$B$8+Assumptions!$B$6))</f>
        <v/>
      </c>
      <c r="N279" s="20" t="str">
        <f aca="false">IF(K279="","",IF(K279&lt;0,IF(H279&lt;&gt;"",H279+Assumptions!$B$7,C279+Assumptions!$B$8+Assumptions!$B$7),M279))</f>
        <v/>
      </c>
      <c r="O279" s="21" t="str">
        <f aca="false">IF(N279="","",N279-Assumptions!$D$5)</f>
        <v/>
      </c>
      <c r="P279" s="22"/>
      <c r="Q279" s="22"/>
      <c r="R279" s="18" t="str">
        <f aca="false">IF(Q279="","",Q279*IF(LEFT(L279,7)="Phase 1",Assumptions!$B$11,Assumptions!$B$12))</f>
        <v/>
      </c>
    </row>
    <row r="280" customFormat="false" ht="15" hidden="false" customHeight="true" outlineLevel="0" collapsed="false">
      <c r="C280" s="24"/>
      <c r="F280" s="22"/>
      <c r="G280" s="23"/>
      <c r="H280" s="24"/>
      <c r="J280" s="18" t="str">
        <f aca="false">IF(F280="","",F280*G280)</f>
        <v/>
      </c>
      <c r="K280" s="5" t="str">
        <f aca="false">IF(A280="","",IF(H280&lt;&gt;"",Assumptions!$D$5-H280,IF(C280="","",Assumptions!$D$5-(C280+Assumptions!$B$8))))</f>
        <v/>
      </c>
      <c r="L280" s="5" t="str">
        <f aca="false">IF(K280="","",IF(K280&lt;0,"Phase 1 (unliquidated)",IF(K280&lt;=Assumptions!$B$7,"Phase 1 (recently liquidated)",IF(K280&lt;=Assumptions!$B$6,"Protest required","Deadline passed — litigation only"))))</f>
        <v/>
      </c>
      <c r="M280" s="20" t="str">
        <f aca="false">IF(K280="","",IF(H280&lt;&gt;"",H280+Assumptions!$B$6,C280+Assumptions!$B$8+Assumptions!$B$6))</f>
        <v/>
      </c>
      <c r="N280" s="20" t="str">
        <f aca="false">IF(K280="","",IF(K280&lt;0,IF(H280&lt;&gt;"",H280+Assumptions!$B$7,C280+Assumptions!$B$8+Assumptions!$B$7),M280))</f>
        <v/>
      </c>
      <c r="O280" s="21" t="str">
        <f aca="false">IF(N280="","",N280-Assumptions!$D$5)</f>
        <v/>
      </c>
      <c r="P280" s="22"/>
      <c r="Q280" s="22"/>
      <c r="R280" s="18" t="str">
        <f aca="false">IF(Q280="","",Q280*IF(LEFT(L280,7)="Phase 1",Assumptions!$B$11,Assumptions!$B$12))</f>
        <v/>
      </c>
    </row>
    <row r="281" customFormat="false" ht="15" hidden="false" customHeight="true" outlineLevel="0" collapsed="false">
      <c r="C281" s="24"/>
      <c r="F281" s="22"/>
      <c r="G281" s="23"/>
      <c r="H281" s="24"/>
      <c r="J281" s="18" t="str">
        <f aca="false">IF(F281="","",F281*G281)</f>
        <v/>
      </c>
      <c r="K281" s="5" t="str">
        <f aca="false">IF(A281="","",IF(H281&lt;&gt;"",Assumptions!$D$5-H281,IF(C281="","",Assumptions!$D$5-(C281+Assumptions!$B$8))))</f>
        <v/>
      </c>
      <c r="L281" s="5" t="str">
        <f aca="false">IF(K281="","",IF(K281&lt;0,"Phase 1 (unliquidated)",IF(K281&lt;=Assumptions!$B$7,"Phase 1 (recently liquidated)",IF(K281&lt;=Assumptions!$B$6,"Protest required","Deadline passed — litigation only"))))</f>
        <v/>
      </c>
      <c r="M281" s="20" t="str">
        <f aca="false">IF(K281="","",IF(H281&lt;&gt;"",H281+Assumptions!$B$6,C281+Assumptions!$B$8+Assumptions!$B$6))</f>
        <v/>
      </c>
      <c r="N281" s="20" t="str">
        <f aca="false">IF(K281="","",IF(K281&lt;0,IF(H281&lt;&gt;"",H281+Assumptions!$B$7,C281+Assumptions!$B$8+Assumptions!$B$7),M281))</f>
        <v/>
      </c>
      <c r="O281" s="21" t="str">
        <f aca="false">IF(N281="","",N281-Assumptions!$D$5)</f>
        <v/>
      </c>
      <c r="P281" s="22"/>
      <c r="Q281" s="22"/>
      <c r="R281" s="18" t="str">
        <f aca="false">IF(Q281="","",Q281*IF(LEFT(L281,7)="Phase 1",Assumptions!$B$11,Assumptions!$B$12))</f>
        <v/>
      </c>
    </row>
    <row r="282" customFormat="false" ht="15" hidden="false" customHeight="true" outlineLevel="0" collapsed="false">
      <c r="C282" s="24"/>
      <c r="F282" s="22"/>
      <c r="G282" s="23"/>
      <c r="H282" s="24"/>
      <c r="J282" s="18" t="str">
        <f aca="false">IF(F282="","",F282*G282)</f>
        <v/>
      </c>
      <c r="K282" s="5" t="str">
        <f aca="false">IF(A282="","",IF(H282&lt;&gt;"",Assumptions!$D$5-H282,IF(C282="","",Assumptions!$D$5-(C282+Assumptions!$B$8))))</f>
        <v/>
      </c>
      <c r="L282" s="5" t="str">
        <f aca="false">IF(K282="","",IF(K282&lt;0,"Phase 1 (unliquidated)",IF(K282&lt;=Assumptions!$B$7,"Phase 1 (recently liquidated)",IF(K282&lt;=Assumptions!$B$6,"Protest required","Deadline passed — litigation only"))))</f>
        <v/>
      </c>
      <c r="M282" s="20" t="str">
        <f aca="false">IF(K282="","",IF(H282&lt;&gt;"",H282+Assumptions!$B$6,C282+Assumptions!$B$8+Assumptions!$B$6))</f>
        <v/>
      </c>
      <c r="N282" s="20" t="str">
        <f aca="false">IF(K282="","",IF(K282&lt;0,IF(H282&lt;&gt;"",H282+Assumptions!$B$7,C282+Assumptions!$B$8+Assumptions!$B$7),M282))</f>
        <v/>
      </c>
      <c r="O282" s="21" t="str">
        <f aca="false">IF(N282="","",N282-Assumptions!$D$5)</f>
        <v/>
      </c>
      <c r="P282" s="22"/>
      <c r="Q282" s="22"/>
      <c r="R282" s="18" t="str">
        <f aca="false">IF(Q282="","",Q282*IF(LEFT(L282,7)="Phase 1",Assumptions!$B$11,Assumptions!$B$12))</f>
        <v/>
      </c>
    </row>
    <row r="283" customFormat="false" ht="15" hidden="false" customHeight="true" outlineLevel="0" collapsed="false">
      <c r="C283" s="24"/>
      <c r="F283" s="22"/>
      <c r="G283" s="23"/>
      <c r="H283" s="24"/>
      <c r="J283" s="18" t="str">
        <f aca="false">IF(F283="","",F283*G283)</f>
        <v/>
      </c>
      <c r="K283" s="5" t="str">
        <f aca="false">IF(A283="","",IF(H283&lt;&gt;"",Assumptions!$D$5-H283,IF(C283="","",Assumptions!$D$5-(C283+Assumptions!$B$8))))</f>
        <v/>
      </c>
      <c r="L283" s="5" t="str">
        <f aca="false">IF(K283="","",IF(K283&lt;0,"Phase 1 (unliquidated)",IF(K283&lt;=Assumptions!$B$7,"Phase 1 (recently liquidated)",IF(K283&lt;=Assumptions!$B$6,"Protest required","Deadline passed — litigation only"))))</f>
        <v/>
      </c>
      <c r="M283" s="20" t="str">
        <f aca="false">IF(K283="","",IF(H283&lt;&gt;"",H283+Assumptions!$B$6,C283+Assumptions!$B$8+Assumptions!$B$6))</f>
        <v/>
      </c>
      <c r="N283" s="20" t="str">
        <f aca="false">IF(K283="","",IF(K283&lt;0,IF(H283&lt;&gt;"",H283+Assumptions!$B$7,C283+Assumptions!$B$8+Assumptions!$B$7),M283))</f>
        <v/>
      </c>
      <c r="O283" s="21" t="str">
        <f aca="false">IF(N283="","",N283-Assumptions!$D$5)</f>
        <v/>
      </c>
      <c r="P283" s="22"/>
      <c r="Q283" s="22"/>
      <c r="R283" s="18" t="str">
        <f aca="false">IF(Q283="","",Q283*IF(LEFT(L283,7)="Phase 1",Assumptions!$B$11,Assumptions!$B$12))</f>
        <v/>
      </c>
    </row>
    <row r="284" customFormat="false" ht="15" hidden="false" customHeight="true" outlineLevel="0" collapsed="false">
      <c r="C284" s="24"/>
      <c r="F284" s="22"/>
      <c r="G284" s="23"/>
      <c r="H284" s="24"/>
      <c r="J284" s="18" t="str">
        <f aca="false">IF(F284="","",F284*G284)</f>
        <v/>
      </c>
      <c r="K284" s="5" t="str">
        <f aca="false">IF(A284="","",IF(H284&lt;&gt;"",Assumptions!$D$5-H284,IF(C284="","",Assumptions!$D$5-(C284+Assumptions!$B$8))))</f>
        <v/>
      </c>
      <c r="L284" s="5" t="str">
        <f aca="false">IF(K284="","",IF(K284&lt;0,"Phase 1 (unliquidated)",IF(K284&lt;=Assumptions!$B$7,"Phase 1 (recently liquidated)",IF(K284&lt;=Assumptions!$B$6,"Protest required","Deadline passed — litigation only"))))</f>
        <v/>
      </c>
      <c r="M284" s="20" t="str">
        <f aca="false">IF(K284="","",IF(H284&lt;&gt;"",H284+Assumptions!$B$6,C284+Assumptions!$B$8+Assumptions!$B$6))</f>
        <v/>
      </c>
      <c r="N284" s="20" t="str">
        <f aca="false">IF(K284="","",IF(K284&lt;0,IF(H284&lt;&gt;"",H284+Assumptions!$B$7,C284+Assumptions!$B$8+Assumptions!$B$7),M284))</f>
        <v/>
      </c>
      <c r="O284" s="21" t="str">
        <f aca="false">IF(N284="","",N284-Assumptions!$D$5)</f>
        <v/>
      </c>
      <c r="P284" s="22"/>
      <c r="Q284" s="22"/>
      <c r="R284" s="18" t="str">
        <f aca="false">IF(Q284="","",Q284*IF(LEFT(L284,7)="Phase 1",Assumptions!$B$11,Assumptions!$B$12))</f>
        <v/>
      </c>
    </row>
    <row r="285" customFormat="false" ht="15" hidden="false" customHeight="true" outlineLevel="0" collapsed="false">
      <c r="C285" s="24"/>
      <c r="F285" s="22"/>
      <c r="G285" s="23"/>
      <c r="H285" s="24"/>
      <c r="J285" s="18" t="str">
        <f aca="false">IF(F285="","",F285*G285)</f>
        <v/>
      </c>
      <c r="K285" s="5" t="str">
        <f aca="false">IF(A285="","",IF(H285&lt;&gt;"",Assumptions!$D$5-H285,IF(C285="","",Assumptions!$D$5-(C285+Assumptions!$B$8))))</f>
        <v/>
      </c>
      <c r="L285" s="5" t="str">
        <f aca="false">IF(K285="","",IF(K285&lt;0,"Phase 1 (unliquidated)",IF(K285&lt;=Assumptions!$B$7,"Phase 1 (recently liquidated)",IF(K285&lt;=Assumptions!$B$6,"Protest required","Deadline passed — litigation only"))))</f>
        <v/>
      </c>
      <c r="M285" s="20" t="str">
        <f aca="false">IF(K285="","",IF(H285&lt;&gt;"",H285+Assumptions!$B$6,C285+Assumptions!$B$8+Assumptions!$B$6))</f>
        <v/>
      </c>
      <c r="N285" s="20" t="str">
        <f aca="false">IF(K285="","",IF(K285&lt;0,IF(H285&lt;&gt;"",H285+Assumptions!$B$7,C285+Assumptions!$B$8+Assumptions!$B$7),M285))</f>
        <v/>
      </c>
      <c r="O285" s="21" t="str">
        <f aca="false">IF(N285="","",N285-Assumptions!$D$5)</f>
        <v/>
      </c>
      <c r="P285" s="22"/>
      <c r="Q285" s="22"/>
      <c r="R285" s="18" t="str">
        <f aca="false">IF(Q285="","",Q285*IF(LEFT(L285,7)="Phase 1",Assumptions!$B$11,Assumptions!$B$12))</f>
        <v/>
      </c>
    </row>
    <row r="286" customFormat="false" ht="15" hidden="false" customHeight="true" outlineLevel="0" collapsed="false">
      <c r="C286" s="24"/>
      <c r="F286" s="22"/>
      <c r="G286" s="23"/>
      <c r="H286" s="24"/>
      <c r="J286" s="18" t="str">
        <f aca="false">IF(F286="","",F286*G286)</f>
        <v/>
      </c>
      <c r="K286" s="5" t="str">
        <f aca="false">IF(A286="","",IF(H286&lt;&gt;"",Assumptions!$D$5-H286,IF(C286="","",Assumptions!$D$5-(C286+Assumptions!$B$8))))</f>
        <v/>
      </c>
      <c r="L286" s="5" t="str">
        <f aca="false">IF(K286="","",IF(K286&lt;0,"Phase 1 (unliquidated)",IF(K286&lt;=Assumptions!$B$7,"Phase 1 (recently liquidated)",IF(K286&lt;=Assumptions!$B$6,"Protest required","Deadline passed — litigation only"))))</f>
        <v/>
      </c>
      <c r="M286" s="20" t="str">
        <f aca="false">IF(K286="","",IF(H286&lt;&gt;"",H286+Assumptions!$B$6,C286+Assumptions!$B$8+Assumptions!$B$6))</f>
        <v/>
      </c>
      <c r="N286" s="20" t="str">
        <f aca="false">IF(K286="","",IF(K286&lt;0,IF(H286&lt;&gt;"",H286+Assumptions!$B$7,C286+Assumptions!$B$8+Assumptions!$B$7),M286))</f>
        <v/>
      </c>
      <c r="O286" s="21" t="str">
        <f aca="false">IF(N286="","",N286-Assumptions!$D$5)</f>
        <v/>
      </c>
      <c r="P286" s="22"/>
      <c r="Q286" s="22"/>
      <c r="R286" s="18" t="str">
        <f aca="false">IF(Q286="","",Q286*IF(LEFT(L286,7)="Phase 1",Assumptions!$B$11,Assumptions!$B$12))</f>
        <v/>
      </c>
    </row>
    <row r="287" customFormat="false" ht="15" hidden="false" customHeight="true" outlineLevel="0" collapsed="false">
      <c r="C287" s="24"/>
      <c r="F287" s="22"/>
      <c r="G287" s="23"/>
      <c r="H287" s="24"/>
      <c r="J287" s="18" t="str">
        <f aca="false">IF(F287="","",F287*G287)</f>
        <v/>
      </c>
      <c r="K287" s="5" t="str">
        <f aca="false">IF(A287="","",IF(H287&lt;&gt;"",Assumptions!$D$5-H287,IF(C287="","",Assumptions!$D$5-(C287+Assumptions!$B$8))))</f>
        <v/>
      </c>
      <c r="L287" s="5" t="str">
        <f aca="false">IF(K287="","",IF(K287&lt;0,"Phase 1 (unliquidated)",IF(K287&lt;=Assumptions!$B$7,"Phase 1 (recently liquidated)",IF(K287&lt;=Assumptions!$B$6,"Protest required","Deadline passed — litigation only"))))</f>
        <v/>
      </c>
      <c r="M287" s="20" t="str">
        <f aca="false">IF(K287="","",IF(H287&lt;&gt;"",H287+Assumptions!$B$6,C287+Assumptions!$B$8+Assumptions!$B$6))</f>
        <v/>
      </c>
      <c r="N287" s="20" t="str">
        <f aca="false">IF(K287="","",IF(K287&lt;0,IF(H287&lt;&gt;"",H287+Assumptions!$B$7,C287+Assumptions!$B$8+Assumptions!$B$7),M287))</f>
        <v/>
      </c>
      <c r="O287" s="21" t="str">
        <f aca="false">IF(N287="","",N287-Assumptions!$D$5)</f>
        <v/>
      </c>
      <c r="P287" s="22"/>
      <c r="Q287" s="22"/>
      <c r="R287" s="18" t="str">
        <f aca="false">IF(Q287="","",Q287*IF(LEFT(L287,7)="Phase 1",Assumptions!$B$11,Assumptions!$B$12))</f>
        <v/>
      </c>
    </row>
    <row r="288" customFormat="false" ht="15" hidden="false" customHeight="true" outlineLevel="0" collapsed="false">
      <c r="C288" s="24"/>
      <c r="F288" s="22"/>
      <c r="G288" s="23"/>
      <c r="H288" s="24"/>
      <c r="J288" s="18" t="str">
        <f aca="false">IF(F288="","",F288*G288)</f>
        <v/>
      </c>
      <c r="K288" s="5" t="str">
        <f aca="false">IF(A288="","",IF(H288&lt;&gt;"",Assumptions!$D$5-H288,IF(C288="","",Assumptions!$D$5-(C288+Assumptions!$B$8))))</f>
        <v/>
      </c>
      <c r="L288" s="5" t="str">
        <f aca="false">IF(K288="","",IF(K288&lt;0,"Phase 1 (unliquidated)",IF(K288&lt;=Assumptions!$B$7,"Phase 1 (recently liquidated)",IF(K288&lt;=Assumptions!$B$6,"Protest required","Deadline passed — litigation only"))))</f>
        <v/>
      </c>
      <c r="M288" s="20" t="str">
        <f aca="false">IF(K288="","",IF(H288&lt;&gt;"",H288+Assumptions!$B$6,C288+Assumptions!$B$8+Assumptions!$B$6))</f>
        <v/>
      </c>
      <c r="N288" s="20" t="str">
        <f aca="false">IF(K288="","",IF(K288&lt;0,IF(H288&lt;&gt;"",H288+Assumptions!$B$7,C288+Assumptions!$B$8+Assumptions!$B$7),M288))</f>
        <v/>
      </c>
      <c r="O288" s="21" t="str">
        <f aca="false">IF(N288="","",N288-Assumptions!$D$5)</f>
        <v/>
      </c>
      <c r="P288" s="22"/>
      <c r="Q288" s="22"/>
      <c r="R288" s="18" t="str">
        <f aca="false">IF(Q288="","",Q288*IF(LEFT(L288,7)="Phase 1",Assumptions!$B$11,Assumptions!$B$12))</f>
        <v/>
      </c>
    </row>
    <row r="289" customFormat="false" ht="15" hidden="false" customHeight="true" outlineLevel="0" collapsed="false">
      <c r="C289" s="24"/>
      <c r="F289" s="22"/>
      <c r="G289" s="23"/>
      <c r="H289" s="24"/>
      <c r="J289" s="18" t="str">
        <f aca="false">IF(F289="","",F289*G289)</f>
        <v/>
      </c>
      <c r="K289" s="5" t="str">
        <f aca="false">IF(A289="","",IF(H289&lt;&gt;"",Assumptions!$D$5-H289,IF(C289="","",Assumptions!$D$5-(C289+Assumptions!$B$8))))</f>
        <v/>
      </c>
      <c r="L289" s="5" t="str">
        <f aca="false">IF(K289="","",IF(K289&lt;0,"Phase 1 (unliquidated)",IF(K289&lt;=Assumptions!$B$7,"Phase 1 (recently liquidated)",IF(K289&lt;=Assumptions!$B$6,"Protest required","Deadline passed — litigation only"))))</f>
        <v/>
      </c>
      <c r="M289" s="20" t="str">
        <f aca="false">IF(K289="","",IF(H289&lt;&gt;"",H289+Assumptions!$B$6,C289+Assumptions!$B$8+Assumptions!$B$6))</f>
        <v/>
      </c>
      <c r="N289" s="20" t="str">
        <f aca="false">IF(K289="","",IF(K289&lt;0,IF(H289&lt;&gt;"",H289+Assumptions!$B$7,C289+Assumptions!$B$8+Assumptions!$B$7),M289))</f>
        <v/>
      </c>
      <c r="O289" s="21" t="str">
        <f aca="false">IF(N289="","",N289-Assumptions!$D$5)</f>
        <v/>
      </c>
      <c r="P289" s="22"/>
      <c r="Q289" s="22"/>
      <c r="R289" s="18" t="str">
        <f aca="false">IF(Q289="","",Q289*IF(LEFT(L289,7)="Phase 1",Assumptions!$B$11,Assumptions!$B$12))</f>
        <v/>
      </c>
    </row>
    <row r="290" customFormat="false" ht="15" hidden="false" customHeight="true" outlineLevel="0" collapsed="false">
      <c r="C290" s="24"/>
      <c r="F290" s="22"/>
      <c r="G290" s="23"/>
      <c r="H290" s="24"/>
      <c r="J290" s="18" t="str">
        <f aca="false">IF(F290="","",F290*G290)</f>
        <v/>
      </c>
      <c r="K290" s="5" t="str">
        <f aca="false">IF(A290="","",IF(H290&lt;&gt;"",Assumptions!$D$5-H290,IF(C290="","",Assumptions!$D$5-(C290+Assumptions!$B$8))))</f>
        <v/>
      </c>
      <c r="L290" s="5" t="str">
        <f aca="false">IF(K290="","",IF(K290&lt;0,"Phase 1 (unliquidated)",IF(K290&lt;=Assumptions!$B$7,"Phase 1 (recently liquidated)",IF(K290&lt;=Assumptions!$B$6,"Protest required","Deadline passed — litigation only"))))</f>
        <v/>
      </c>
      <c r="M290" s="20" t="str">
        <f aca="false">IF(K290="","",IF(H290&lt;&gt;"",H290+Assumptions!$B$6,C290+Assumptions!$B$8+Assumptions!$B$6))</f>
        <v/>
      </c>
      <c r="N290" s="20" t="str">
        <f aca="false">IF(K290="","",IF(K290&lt;0,IF(H290&lt;&gt;"",H290+Assumptions!$B$7,C290+Assumptions!$B$8+Assumptions!$B$7),M290))</f>
        <v/>
      </c>
      <c r="O290" s="21" t="str">
        <f aca="false">IF(N290="","",N290-Assumptions!$D$5)</f>
        <v/>
      </c>
      <c r="P290" s="22"/>
      <c r="Q290" s="22"/>
      <c r="R290" s="18" t="str">
        <f aca="false">IF(Q290="","",Q290*IF(LEFT(L290,7)="Phase 1",Assumptions!$B$11,Assumptions!$B$12))</f>
        <v/>
      </c>
    </row>
    <row r="291" customFormat="false" ht="15" hidden="false" customHeight="true" outlineLevel="0" collapsed="false">
      <c r="C291" s="24"/>
      <c r="F291" s="22"/>
      <c r="G291" s="23"/>
      <c r="H291" s="24"/>
      <c r="J291" s="18" t="str">
        <f aca="false">IF(F291="","",F291*G291)</f>
        <v/>
      </c>
      <c r="K291" s="5" t="str">
        <f aca="false">IF(A291="","",IF(H291&lt;&gt;"",Assumptions!$D$5-H291,IF(C291="","",Assumptions!$D$5-(C291+Assumptions!$B$8))))</f>
        <v/>
      </c>
      <c r="L291" s="5" t="str">
        <f aca="false">IF(K291="","",IF(K291&lt;0,"Phase 1 (unliquidated)",IF(K291&lt;=Assumptions!$B$7,"Phase 1 (recently liquidated)",IF(K291&lt;=Assumptions!$B$6,"Protest required","Deadline passed — litigation only"))))</f>
        <v/>
      </c>
      <c r="M291" s="20" t="str">
        <f aca="false">IF(K291="","",IF(H291&lt;&gt;"",H291+Assumptions!$B$6,C291+Assumptions!$B$8+Assumptions!$B$6))</f>
        <v/>
      </c>
      <c r="N291" s="20" t="str">
        <f aca="false">IF(K291="","",IF(K291&lt;0,IF(H291&lt;&gt;"",H291+Assumptions!$B$7,C291+Assumptions!$B$8+Assumptions!$B$7),M291))</f>
        <v/>
      </c>
      <c r="O291" s="21" t="str">
        <f aca="false">IF(N291="","",N291-Assumptions!$D$5)</f>
        <v/>
      </c>
      <c r="P291" s="22"/>
      <c r="Q291" s="22"/>
      <c r="R291" s="18" t="str">
        <f aca="false">IF(Q291="","",Q291*IF(LEFT(L291,7)="Phase 1",Assumptions!$B$11,Assumptions!$B$12))</f>
        <v/>
      </c>
    </row>
    <row r="292" customFormat="false" ht="15" hidden="false" customHeight="true" outlineLevel="0" collapsed="false">
      <c r="C292" s="24"/>
      <c r="F292" s="22"/>
      <c r="G292" s="23"/>
      <c r="H292" s="24"/>
      <c r="J292" s="18" t="str">
        <f aca="false">IF(F292="","",F292*G292)</f>
        <v/>
      </c>
      <c r="K292" s="5" t="str">
        <f aca="false">IF(A292="","",IF(H292&lt;&gt;"",Assumptions!$D$5-H292,IF(C292="","",Assumptions!$D$5-(C292+Assumptions!$B$8))))</f>
        <v/>
      </c>
      <c r="L292" s="5" t="str">
        <f aca="false">IF(K292="","",IF(K292&lt;0,"Phase 1 (unliquidated)",IF(K292&lt;=Assumptions!$B$7,"Phase 1 (recently liquidated)",IF(K292&lt;=Assumptions!$B$6,"Protest required","Deadline passed — litigation only"))))</f>
        <v/>
      </c>
      <c r="M292" s="20" t="str">
        <f aca="false">IF(K292="","",IF(H292&lt;&gt;"",H292+Assumptions!$B$6,C292+Assumptions!$B$8+Assumptions!$B$6))</f>
        <v/>
      </c>
      <c r="N292" s="20" t="str">
        <f aca="false">IF(K292="","",IF(K292&lt;0,IF(H292&lt;&gt;"",H292+Assumptions!$B$7,C292+Assumptions!$B$8+Assumptions!$B$7),M292))</f>
        <v/>
      </c>
      <c r="O292" s="21" t="str">
        <f aca="false">IF(N292="","",N292-Assumptions!$D$5)</f>
        <v/>
      </c>
      <c r="P292" s="22"/>
      <c r="Q292" s="22"/>
      <c r="R292" s="18" t="str">
        <f aca="false">IF(Q292="","",Q292*IF(LEFT(L292,7)="Phase 1",Assumptions!$B$11,Assumptions!$B$12))</f>
        <v/>
      </c>
    </row>
    <row r="293" customFormat="false" ht="15" hidden="false" customHeight="true" outlineLevel="0" collapsed="false">
      <c r="C293" s="24"/>
      <c r="F293" s="22"/>
      <c r="G293" s="23"/>
      <c r="H293" s="24"/>
      <c r="J293" s="18" t="str">
        <f aca="false">IF(F293="","",F293*G293)</f>
        <v/>
      </c>
      <c r="K293" s="5" t="str">
        <f aca="false">IF(A293="","",IF(H293&lt;&gt;"",Assumptions!$D$5-H293,IF(C293="","",Assumptions!$D$5-(C293+Assumptions!$B$8))))</f>
        <v/>
      </c>
      <c r="L293" s="5" t="str">
        <f aca="false">IF(K293="","",IF(K293&lt;0,"Phase 1 (unliquidated)",IF(K293&lt;=Assumptions!$B$7,"Phase 1 (recently liquidated)",IF(K293&lt;=Assumptions!$B$6,"Protest required","Deadline passed — litigation only"))))</f>
        <v/>
      </c>
      <c r="M293" s="20" t="str">
        <f aca="false">IF(K293="","",IF(H293&lt;&gt;"",H293+Assumptions!$B$6,C293+Assumptions!$B$8+Assumptions!$B$6))</f>
        <v/>
      </c>
      <c r="N293" s="20" t="str">
        <f aca="false">IF(K293="","",IF(K293&lt;0,IF(H293&lt;&gt;"",H293+Assumptions!$B$7,C293+Assumptions!$B$8+Assumptions!$B$7),M293))</f>
        <v/>
      </c>
      <c r="O293" s="21" t="str">
        <f aca="false">IF(N293="","",N293-Assumptions!$D$5)</f>
        <v/>
      </c>
      <c r="P293" s="22"/>
      <c r="Q293" s="22"/>
      <c r="R293" s="18" t="str">
        <f aca="false">IF(Q293="","",Q293*IF(LEFT(L293,7)="Phase 1",Assumptions!$B$11,Assumptions!$B$12))</f>
        <v/>
      </c>
    </row>
    <row r="294" customFormat="false" ht="15" hidden="false" customHeight="true" outlineLevel="0" collapsed="false">
      <c r="C294" s="24"/>
      <c r="F294" s="22"/>
      <c r="G294" s="23"/>
      <c r="H294" s="24"/>
      <c r="J294" s="18" t="str">
        <f aca="false">IF(F294="","",F294*G294)</f>
        <v/>
      </c>
      <c r="K294" s="5" t="str">
        <f aca="false">IF(A294="","",IF(H294&lt;&gt;"",Assumptions!$D$5-H294,IF(C294="","",Assumptions!$D$5-(C294+Assumptions!$B$8))))</f>
        <v/>
      </c>
      <c r="L294" s="5" t="str">
        <f aca="false">IF(K294="","",IF(K294&lt;0,"Phase 1 (unliquidated)",IF(K294&lt;=Assumptions!$B$7,"Phase 1 (recently liquidated)",IF(K294&lt;=Assumptions!$B$6,"Protest required","Deadline passed — litigation only"))))</f>
        <v/>
      </c>
      <c r="M294" s="20" t="str">
        <f aca="false">IF(K294="","",IF(H294&lt;&gt;"",H294+Assumptions!$B$6,C294+Assumptions!$B$8+Assumptions!$B$6))</f>
        <v/>
      </c>
      <c r="N294" s="20" t="str">
        <f aca="false">IF(K294="","",IF(K294&lt;0,IF(H294&lt;&gt;"",H294+Assumptions!$B$7,C294+Assumptions!$B$8+Assumptions!$B$7),M294))</f>
        <v/>
      </c>
      <c r="O294" s="21" t="str">
        <f aca="false">IF(N294="","",N294-Assumptions!$D$5)</f>
        <v/>
      </c>
      <c r="P294" s="22"/>
      <c r="Q294" s="22"/>
      <c r="R294" s="18" t="str">
        <f aca="false">IF(Q294="","",Q294*IF(LEFT(L294,7)="Phase 1",Assumptions!$B$11,Assumptions!$B$12))</f>
        <v/>
      </c>
    </row>
    <row r="295" customFormat="false" ht="15" hidden="false" customHeight="true" outlineLevel="0" collapsed="false">
      <c r="C295" s="24"/>
      <c r="F295" s="22"/>
      <c r="G295" s="23"/>
      <c r="H295" s="24"/>
      <c r="J295" s="18" t="str">
        <f aca="false">IF(F295="","",F295*G295)</f>
        <v/>
      </c>
      <c r="K295" s="5" t="str">
        <f aca="false">IF(A295="","",IF(H295&lt;&gt;"",Assumptions!$D$5-H295,IF(C295="","",Assumptions!$D$5-(C295+Assumptions!$B$8))))</f>
        <v/>
      </c>
      <c r="L295" s="5" t="str">
        <f aca="false">IF(K295="","",IF(K295&lt;0,"Phase 1 (unliquidated)",IF(K295&lt;=Assumptions!$B$7,"Phase 1 (recently liquidated)",IF(K295&lt;=Assumptions!$B$6,"Protest required","Deadline passed — litigation only"))))</f>
        <v/>
      </c>
      <c r="M295" s="20" t="str">
        <f aca="false">IF(K295="","",IF(H295&lt;&gt;"",H295+Assumptions!$B$6,C295+Assumptions!$B$8+Assumptions!$B$6))</f>
        <v/>
      </c>
      <c r="N295" s="20" t="str">
        <f aca="false">IF(K295="","",IF(K295&lt;0,IF(H295&lt;&gt;"",H295+Assumptions!$B$7,C295+Assumptions!$B$8+Assumptions!$B$7),M295))</f>
        <v/>
      </c>
      <c r="O295" s="21" t="str">
        <f aca="false">IF(N295="","",N295-Assumptions!$D$5)</f>
        <v/>
      </c>
      <c r="P295" s="22"/>
      <c r="Q295" s="22"/>
      <c r="R295" s="18" t="str">
        <f aca="false">IF(Q295="","",Q295*IF(LEFT(L295,7)="Phase 1",Assumptions!$B$11,Assumptions!$B$12))</f>
        <v/>
      </c>
    </row>
    <row r="296" customFormat="false" ht="15" hidden="false" customHeight="true" outlineLevel="0" collapsed="false">
      <c r="C296" s="24"/>
      <c r="F296" s="22"/>
      <c r="G296" s="23"/>
      <c r="H296" s="24"/>
      <c r="J296" s="18" t="str">
        <f aca="false">IF(F296="","",F296*G296)</f>
        <v/>
      </c>
      <c r="K296" s="5" t="str">
        <f aca="false">IF(A296="","",IF(H296&lt;&gt;"",Assumptions!$D$5-H296,IF(C296="","",Assumptions!$D$5-(C296+Assumptions!$B$8))))</f>
        <v/>
      </c>
      <c r="L296" s="5" t="str">
        <f aca="false">IF(K296="","",IF(K296&lt;0,"Phase 1 (unliquidated)",IF(K296&lt;=Assumptions!$B$7,"Phase 1 (recently liquidated)",IF(K296&lt;=Assumptions!$B$6,"Protest required","Deadline passed — litigation only"))))</f>
        <v/>
      </c>
      <c r="M296" s="20" t="str">
        <f aca="false">IF(K296="","",IF(H296&lt;&gt;"",H296+Assumptions!$B$6,C296+Assumptions!$B$8+Assumptions!$B$6))</f>
        <v/>
      </c>
      <c r="N296" s="20" t="str">
        <f aca="false">IF(K296="","",IF(K296&lt;0,IF(H296&lt;&gt;"",H296+Assumptions!$B$7,C296+Assumptions!$B$8+Assumptions!$B$7),M296))</f>
        <v/>
      </c>
      <c r="O296" s="21" t="str">
        <f aca="false">IF(N296="","",N296-Assumptions!$D$5)</f>
        <v/>
      </c>
      <c r="P296" s="22"/>
      <c r="Q296" s="22"/>
      <c r="R296" s="18" t="str">
        <f aca="false">IF(Q296="","",Q296*IF(LEFT(L296,7)="Phase 1",Assumptions!$B$11,Assumptions!$B$12))</f>
        <v/>
      </c>
    </row>
    <row r="297" customFormat="false" ht="15" hidden="false" customHeight="true" outlineLevel="0" collapsed="false">
      <c r="C297" s="24"/>
      <c r="F297" s="22"/>
      <c r="G297" s="23"/>
      <c r="H297" s="24"/>
      <c r="J297" s="18" t="str">
        <f aca="false">IF(F297="","",F297*G297)</f>
        <v/>
      </c>
      <c r="K297" s="5" t="str">
        <f aca="false">IF(A297="","",IF(H297&lt;&gt;"",Assumptions!$D$5-H297,IF(C297="","",Assumptions!$D$5-(C297+Assumptions!$B$8))))</f>
        <v/>
      </c>
      <c r="L297" s="5" t="str">
        <f aca="false">IF(K297="","",IF(K297&lt;0,"Phase 1 (unliquidated)",IF(K297&lt;=Assumptions!$B$7,"Phase 1 (recently liquidated)",IF(K297&lt;=Assumptions!$B$6,"Protest required","Deadline passed — litigation only"))))</f>
        <v/>
      </c>
      <c r="M297" s="20" t="str">
        <f aca="false">IF(K297="","",IF(H297&lt;&gt;"",H297+Assumptions!$B$6,C297+Assumptions!$B$8+Assumptions!$B$6))</f>
        <v/>
      </c>
      <c r="N297" s="20" t="str">
        <f aca="false">IF(K297="","",IF(K297&lt;0,IF(H297&lt;&gt;"",H297+Assumptions!$B$7,C297+Assumptions!$B$8+Assumptions!$B$7),M297))</f>
        <v/>
      </c>
      <c r="O297" s="21" t="str">
        <f aca="false">IF(N297="","",N297-Assumptions!$D$5)</f>
        <v/>
      </c>
      <c r="P297" s="22"/>
      <c r="Q297" s="22"/>
      <c r="R297" s="18" t="str">
        <f aca="false">IF(Q297="","",Q297*IF(LEFT(L297,7)="Phase 1",Assumptions!$B$11,Assumptions!$B$12))</f>
        <v/>
      </c>
    </row>
    <row r="298" customFormat="false" ht="15" hidden="false" customHeight="true" outlineLevel="0" collapsed="false">
      <c r="C298" s="24"/>
      <c r="F298" s="22"/>
      <c r="G298" s="23"/>
      <c r="H298" s="24"/>
      <c r="J298" s="18" t="str">
        <f aca="false">IF(F298="","",F298*G298)</f>
        <v/>
      </c>
      <c r="K298" s="5" t="str">
        <f aca="false">IF(A298="","",IF(H298&lt;&gt;"",Assumptions!$D$5-H298,IF(C298="","",Assumptions!$D$5-(C298+Assumptions!$B$8))))</f>
        <v/>
      </c>
      <c r="L298" s="5" t="str">
        <f aca="false">IF(K298="","",IF(K298&lt;0,"Phase 1 (unliquidated)",IF(K298&lt;=Assumptions!$B$7,"Phase 1 (recently liquidated)",IF(K298&lt;=Assumptions!$B$6,"Protest required","Deadline passed — litigation only"))))</f>
        <v/>
      </c>
      <c r="M298" s="20" t="str">
        <f aca="false">IF(K298="","",IF(H298&lt;&gt;"",H298+Assumptions!$B$6,C298+Assumptions!$B$8+Assumptions!$B$6))</f>
        <v/>
      </c>
      <c r="N298" s="20" t="str">
        <f aca="false">IF(K298="","",IF(K298&lt;0,IF(H298&lt;&gt;"",H298+Assumptions!$B$7,C298+Assumptions!$B$8+Assumptions!$B$7),M298))</f>
        <v/>
      </c>
      <c r="O298" s="21" t="str">
        <f aca="false">IF(N298="","",N298-Assumptions!$D$5)</f>
        <v/>
      </c>
      <c r="P298" s="22"/>
      <c r="Q298" s="22"/>
      <c r="R298" s="18" t="str">
        <f aca="false">IF(Q298="","",Q298*IF(LEFT(L298,7)="Phase 1",Assumptions!$B$11,Assumptions!$B$12))</f>
        <v/>
      </c>
    </row>
    <row r="299" customFormat="false" ht="15" hidden="false" customHeight="true" outlineLevel="0" collapsed="false">
      <c r="C299" s="24"/>
      <c r="F299" s="22"/>
      <c r="G299" s="23"/>
      <c r="H299" s="24"/>
      <c r="J299" s="18" t="str">
        <f aca="false">IF(F299="","",F299*G299)</f>
        <v/>
      </c>
      <c r="K299" s="5" t="str">
        <f aca="false">IF(A299="","",IF(H299&lt;&gt;"",Assumptions!$D$5-H299,IF(C299="","",Assumptions!$D$5-(C299+Assumptions!$B$8))))</f>
        <v/>
      </c>
      <c r="L299" s="5" t="str">
        <f aca="false">IF(K299="","",IF(K299&lt;0,"Phase 1 (unliquidated)",IF(K299&lt;=Assumptions!$B$7,"Phase 1 (recently liquidated)",IF(K299&lt;=Assumptions!$B$6,"Protest required","Deadline passed — litigation only"))))</f>
        <v/>
      </c>
      <c r="M299" s="20" t="str">
        <f aca="false">IF(K299="","",IF(H299&lt;&gt;"",H299+Assumptions!$B$6,C299+Assumptions!$B$8+Assumptions!$B$6))</f>
        <v/>
      </c>
      <c r="N299" s="20" t="str">
        <f aca="false">IF(K299="","",IF(K299&lt;0,IF(H299&lt;&gt;"",H299+Assumptions!$B$7,C299+Assumptions!$B$8+Assumptions!$B$7),M299))</f>
        <v/>
      </c>
      <c r="O299" s="21" t="str">
        <f aca="false">IF(N299="","",N299-Assumptions!$D$5)</f>
        <v/>
      </c>
      <c r="P299" s="22"/>
      <c r="Q299" s="22"/>
      <c r="R299" s="18" t="str">
        <f aca="false">IF(Q299="","",Q299*IF(LEFT(L299,7)="Phase 1",Assumptions!$B$11,Assumptions!$B$12))</f>
        <v/>
      </c>
    </row>
    <row r="300" customFormat="false" ht="15" hidden="false" customHeight="true" outlineLevel="0" collapsed="false">
      <c r="C300" s="24"/>
      <c r="F300" s="22"/>
      <c r="G300" s="23"/>
      <c r="H300" s="24"/>
      <c r="J300" s="18" t="str">
        <f aca="false">IF(F300="","",F300*G300)</f>
        <v/>
      </c>
      <c r="K300" s="5" t="str">
        <f aca="false">IF(A300="","",IF(H300&lt;&gt;"",Assumptions!$D$5-H300,IF(C300="","",Assumptions!$D$5-(C300+Assumptions!$B$8))))</f>
        <v/>
      </c>
      <c r="L300" s="5" t="str">
        <f aca="false">IF(K300="","",IF(K300&lt;0,"Phase 1 (unliquidated)",IF(K300&lt;=Assumptions!$B$7,"Phase 1 (recently liquidated)",IF(K300&lt;=Assumptions!$B$6,"Protest required","Deadline passed — litigation only"))))</f>
        <v/>
      </c>
      <c r="M300" s="20" t="str">
        <f aca="false">IF(K300="","",IF(H300&lt;&gt;"",H300+Assumptions!$B$6,C300+Assumptions!$B$8+Assumptions!$B$6))</f>
        <v/>
      </c>
      <c r="N300" s="20" t="str">
        <f aca="false">IF(K300="","",IF(K300&lt;0,IF(H300&lt;&gt;"",H300+Assumptions!$B$7,C300+Assumptions!$B$8+Assumptions!$B$7),M300))</f>
        <v/>
      </c>
      <c r="O300" s="21" t="str">
        <f aca="false">IF(N300="","",N300-Assumptions!$D$5)</f>
        <v/>
      </c>
      <c r="P300" s="22"/>
      <c r="Q300" s="22"/>
      <c r="R300" s="18" t="str">
        <f aca="false">IF(Q300="","",Q300*IF(LEFT(L300,7)="Phase 1",Assumptions!$B$11,Assumptions!$B$12))</f>
        <v/>
      </c>
    </row>
    <row r="301" customFormat="false" ht="15" hidden="false" customHeight="true" outlineLevel="0" collapsed="false">
      <c r="C301" s="24"/>
      <c r="F301" s="22"/>
      <c r="G301" s="23"/>
      <c r="H301" s="24"/>
      <c r="J301" s="18" t="str">
        <f aca="false">IF(F301="","",F301*G301)</f>
        <v/>
      </c>
      <c r="K301" s="5" t="str">
        <f aca="false">IF(A301="","",IF(H301&lt;&gt;"",Assumptions!$D$5-H301,IF(C301="","",Assumptions!$D$5-(C301+Assumptions!$B$8))))</f>
        <v/>
      </c>
      <c r="L301" s="5" t="str">
        <f aca="false">IF(K301="","",IF(K301&lt;0,"Phase 1 (unliquidated)",IF(K301&lt;=Assumptions!$B$7,"Phase 1 (recently liquidated)",IF(K301&lt;=Assumptions!$B$6,"Protest required","Deadline passed — litigation only"))))</f>
        <v/>
      </c>
      <c r="M301" s="20" t="str">
        <f aca="false">IF(K301="","",IF(H301&lt;&gt;"",H301+Assumptions!$B$6,C301+Assumptions!$B$8+Assumptions!$B$6))</f>
        <v/>
      </c>
      <c r="N301" s="20" t="str">
        <f aca="false">IF(K301="","",IF(K301&lt;0,IF(H301&lt;&gt;"",H301+Assumptions!$B$7,C301+Assumptions!$B$8+Assumptions!$B$7),M301))</f>
        <v/>
      </c>
      <c r="O301" s="21" t="str">
        <f aca="false">IF(N301="","",N301-Assumptions!$D$5)</f>
        <v/>
      </c>
      <c r="P301" s="22"/>
      <c r="Q301" s="22"/>
      <c r="R301" s="18" t="str">
        <f aca="false">IF(Q301="","",Q301*IF(LEFT(L301,7)="Phase 1",Assumptions!$B$11,Assumptions!$B$12))</f>
        <v/>
      </c>
    </row>
    <row r="302" customFormat="false" ht="15" hidden="false" customHeight="true" outlineLevel="0" collapsed="false">
      <c r="C302" s="24"/>
      <c r="F302" s="22"/>
      <c r="G302" s="23"/>
      <c r="H302" s="24"/>
      <c r="J302" s="18" t="str">
        <f aca="false">IF(F302="","",F302*G302)</f>
        <v/>
      </c>
      <c r="K302" s="5" t="str">
        <f aca="false">IF(A302="","",IF(H302&lt;&gt;"",Assumptions!$D$5-H302,IF(C302="","",Assumptions!$D$5-(C302+Assumptions!$B$8))))</f>
        <v/>
      </c>
      <c r="L302" s="5" t="str">
        <f aca="false">IF(K302="","",IF(K302&lt;0,"Phase 1 (unliquidated)",IF(K302&lt;=Assumptions!$B$7,"Phase 1 (recently liquidated)",IF(K302&lt;=Assumptions!$B$6,"Protest required","Deadline passed — litigation only"))))</f>
        <v/>
      </c>
      <c r="M302" s="20" t="str">
        <f aca="false">IF(K302="","",IF(H302&lt;&gt;"",H302+Assumptions!$B$6,C302+Assumptions!$B$8+Assumptions!$B$6))</f>
        <v/>
      </c>
      <c r="N302" s="20" t="str">
        <f aca="false">IF(K302="","",IF(K302&lt;0,IF(H302&lt;&gt;"",H302+Assumptions!$B$7,C302+Assumptions!$B$8+Assumptions!$B$7),M302))</f>
        <v/>
      </c>
      <c r="O302" s="21" t="str">
        <f aca="false">IF(N302="","",N302-Assumptions!$D$5)</f>
        <v/>
      </c>
      <c r="P302" s="22"/>
      <c r="Q302" s="22"/>
      <c r="R302" s="18" t="str">
        <f aca="false">IF(Q302="","",Q302*IF(LEFT(L302,7)="Phase 1",Assumptions!$B$11,Assumptions!$B$12))</f>
        <v/>
      </c>
    </row>
    <row r="303" customFormat="false" ht="15" hidden="false" customHeight="true" outlineLevel="0" collapsed="false">
      <c r="C303" s="24"/>
      <c r="F303" s="22"/>
      <c r="G303" s="23"/>
      <c r="H303" s="24"/>
      <c r="J303" s="18" t="str">
        <f aca="false">IF(F303="","",F303*G303)</f>
        <v/>
      </c>
      <c r="K303" s="5" t="str">
        <f aca="false">IF(A303="","",IF(H303&lt;&gt;"",Assumptions!$D$5-H303,IF(C303="","",Assumptions!$D$5-(C303+Assumptions!$B$8))))</f>
        <v/>
      </c>
      <c r="L303" s="5" t="str">
        <f aca="false">IF(K303="","",IF(K303&lt;0,"Phase 1 (unliquidated)",IF(K303&lt;=Assumptions!$B$7,"Phase 1 (recently liquidated)",IF(K303&lt;=Assumptions!$B$6,"Protest required","Deadline passed — litigation only"))))</f>
        <v/>
      </c>
      <c r="M303" s="20" t="str">
        <f aca="false">IF(K303="","",IF(H303&lt;&gt;"",H303+Assumptions!$B$6,C303+Assumptions!$B$8+Assumptions!$B$6))</f>
        <v/>
      </c>
      <c r="N303" s="20" t="str">
        <f aca="false">IF(K303="","",IF(K303&lt;0,IF(H303&lt;&gt;"",H303+Assumptions!$B$7,C303+Assumptions!$B$8+Assumptions!$B$7),M303))</f>
        <v/>
      </c>
      <c r="O303" s="21" t="str">
        <f aca="false">IF(N303="","",N303-Assumptions!$D$5)</f>
        <v/>
      </c>
      <c r="P303" s="22"/>
      <c r="Q303" s="22"/>
      <c r="R303" s="18" t="str">
        <f aca="false">IF(Q303="","",Q303*IF(LEFT(L303,7)="Phase 1",Assumptions!$B$11,Assumptions!$B$12))</f>
        <v/>
      </c>
    </row>
    <row r="304" customFormat="false" ht="15" hidden="false" customHeight="true" outlineLevel="0" collapsed="false">
      <c r="C304" s="24"/>
      <c r="F304" s="22"/>
      <c r="G304" s="23"/>
      <c r="H304" s="24"/>
      <c r="J304" s="18" t="str">
        <f aca="false">IF(F304="","",F304*G304)</f>
        <v/>
      </c>
      <c r="K304" s="5" t="str">
        <f aca="false">IF(A304="","",IF(H304&lt;&gt;"",Assumptions!$D$5-H304,IF(C304="","",Assumptions!$D$5-(C304+Assumptions!$B$8))))</f>
        <v/>
      </c>
      <c r="L304" s="5" t="str">
        <f aca="false">IF(K304="","",IF(K304&lt;0,"Phase 1 (unliquidated)",IF(K304&lt;=Assumptions!$B$7,"Phase 1 (recently liquidated)",IF(K304&lt;=Assumptions!$B$6,"Protest required","Deadline passed — litigation only"))))</f>
        <v/>
      </c>
      <c r="M304" s="20" t="str">
        <f aca="false">IF(K304="","",IF(H304&lt;&gt;"",H304+Assumptions!$B$6,C304+Assumptions!$B$8+Assumptions!$B$6))</f>
        <v/>
      </c>
      <c r="N304" s="20" t="str">
        <f aca="false">IF(K304="","",IF(K304&lt;0,IF(H304&lt;&gt;"",H304+Assumptions!$B$7,C304+Assumptions!$B$8+Assumptions!$B$7),M304))</f>
        <v/>
      </c>
      <c r="O304" s="21" t="str">
        <f aca="false">IF(N304="","",N304-Assumptions!$D$5)</f>
        <v/>
      </c>
      <c r="P304" s="22"/>
      <c r="Q304" s="22"/>
      <c r="R304" s="18" t="str">
        <f aca="false">IF(Q304="","",Q304*IF(LEFT(L304,7)="Phase 1",Assumptions!$B$11,Assumptions!$B$12))</f>
        <v/>
      </c>
    </row>
    <row r="305" customFormat="false" ht="15" hidden="false" customHeight="true" outlineLevel="0" collapsed="false">
      <c r="C305" s="24"/>
      <c r="F305" s="22"/>
      <c r="G305" s="23"/>
      <c r="H305" s="24"/>
      <c r="J305" s="18" t="str">
        <f aca="false">IF(F305="","",F305*G305)</f>
        <v/>
      </c>
      <c r="K305" s="5" t="str">
        <f aca="false">IF(A305="","",IF(H305&lt;&gt;"",Assumptions!$D$5-H305,IF(C305="","",Assumptions!$D$5-(C305+Assumptions!$B$8))))</f>
        <v/>
      </c>
      <c r="L305" s="5" t="str">
        <f aca="false">IF(K305="","",IF(K305&lt;0,"Phase 1 (unliquidated)",IF(K305&lt;=Assumptions!$B$7,"Phase 1 (recently liquidated)",IF(K305&lt;=Assumptions!$B$6,"Protest required","Deadline passed — litigation only"))))</f>
        <v/>
      </c>
      <c r="M305" s="20" t="str">
        <f aca="false">IF(K305="","",IF(H305&lt;&gt;"",H305+Assumptions!$B$6,C305+Assumptions!$B$8+Assumptions!$B$6))</f>
        <v/>
      </c>
      <c r="N305" s="20" t="str">
        <f aca="false">IF(K305="","",IF(K305&lt;0,IF(H305&lt;&gt;"",H305+Assumptions!$B$7,C305+Assumptions!$B$8+Assumptions!$B$7),M305))</f>
        <v/>
      </c>
      <c r="O305" s="21" t="str">
        <f aca="false">IF(N305="","",N305-Assumptions!$D$5)</f>
        <v/>
      </c>
      <c r="P305" s="22"/>
      <c r="Q305" s="22"/>
      <c r="R305" s="18" t="str">
        <f aca="false">IF(Q305="","",Q305*IF(LEFT(L305,7)="Phase 1",Assumptions!$B$11,Assumptions!$B$12))</f>
        <v/>
      </c>
    </row>
    <row r="306" customFormat="false" ht="15" hidden="false" customHeight="true" outlineLevel="0" collapsed="false">
      <c r="C306" s="24"/>
      <c r="F306" s="22"/>
      <c r="G306" s="23"/>
      <c r="H306" s="24"/>
      <c r="J306" s="18" t="str">
        <f aca="false">IF(F306="","",F306*G306)</f>
        <v/>
      </c>
      <c r="K306" s="5" t="str">
        <f aca="false">IF(A306="","",IF(H306&lt;&gt;"",Assumptions!$D$5-H306,IF(C306="","",Assumptions!$D$5-(C306+Assumptions!$B$8))))</f>
        <v/>
      </c>
      <c r="L306" s="5" t="str">
        <f aca="false">IF(K306="","",IF(K306&lt;0,"Phase 1 (unliquidated)",IF(K306&lt;=Assumptions!$B$7,"Phase 1 (recently liquidated)",IF(K306&lt;=Assumptions!$B$6,"Protest required","Deadline passed — litigation only"))))</f>
        <v/>
      </c>
      <c r="M306" s="20" t="str">
        <f aca="false">IF(K306="","",IF(H306&lt;&gt;"",H306+Assumptions!$B$6,C306+Assumptions!$B$8+Assumptions!$B$6))</f>
        <v/>
      </c>
      <c r="N306" s="20" t="str">
        <f aca="false">IF(K306="","",IF(K306&lt;0,IF(H306&lt;&gt;"",H306+Assumptions!$B$7,C306+Assumptions!$B$8+Assumptions!$B$7),M306))</f>
        <v/>
      </c>
      <c r="O306" s="21" t="str">
        <f aca="false">IF(N306="","",N306-Assumptions!$D$5)</f>
        <v/>
      </c>
      <c r="P306" s="22"/>
      <c r="Q306" s="22"/>
      <c r="R306" s="18" t="str">
        <f aca="false">IF(Q306="","",Q306*IF(LEFT(L306,7)="Phase 1",Assumptions!$B$11,Assumptions!$B$12))</f>
        <v/>
      </c>
    </row>
    <row r="307" customFormat="false" ht="15" hidden="false" customHeight="true" outlineLevel="0" collapsed="false">
      <c r="C307" s="24"/>
      <c r="F307" s="22"/>
      <c r="G307" s="23"/>
      <c r="H307" s="24"/>
      <c r="J307" s="18" t="str">
        <f aca="false">IF(F307="","",F307*G307)</f>
        <v/>
      </c>
      <c r="K307" s="5" t="str">
        <f aca="false">IF(A307="","",IF(H307&lt;&gt;"",Assumptions!$D$5-H307,IF(C307="","",Assumptions!$D$5-(C307+Assumptions!$B$8))))</f>
        <v/>
      </c>
      <c r="L307" s="5" t="str">
        <f aca="false">IF(K307="","",IF(K307&lt;0,"Phase 1 (unliquidated)",IF(K307&lt;=Assumptions!$B$7,"Phase 1 (recently liquidated)",IF(K307&lt;=Assumptions!$B$6,"Protest required","Deadline passed — litigation only"))))</f>
        <v/>
      </c>
      <c r="M307" s="20" t="str">
        <f aca="false">IF(K307="","",IF(H307&lt;&gt;"",H307+Assumptions!$B$6,C307+Assumptions!$B$8+Assumptions!$B$6))</f>
        <v/>
      </c>
      <c r="N307" s="20" t="str">
        <f aca="false">IF(K307="","",IF(K307&lt;0,IF(H307&lt;&gt;"",H307+Assumptions!$B$7,C307+Assumptions!$B$8+Assumptions!$B$7),M307))</f>
        <v/>
      </c>
      <c r="O307" s="21" t="str">
        <f aca="false">IF(N307="","",N307-Assumptions!$D$5)</f>
        <v/>
      </c>
      <c r="P307" s="22"/>
      <c r="Q307" s="22"/>
      <c r="R307" s="18" t="str">
        <f aca="false">IF(Q307="","",Q307*IF(LEFT(L307,7)="Phase 1",Assumptions!$B$11,Assumptions!$B$12))</f>
        <v/>
      </c>
    </row>
    <row r="308" customFormat="false" ht="15" hidden="false" customHeight="true" outlineLevel="0" collapsed="false">
      <c r="C308" s="24"/>
      <c r="F308" s="22"/>
      <c r="G308" s="23"/>
      <c r="H308" s="24"/>
      <c r="J308" s="18" t="str">
        <f aca="false">IF(F308="","",F308*G308)</f>
        <v/>
      </c>
      <c r="K308" s="5" t="str">
        <f aca="false">IF(A308="","",IF(H308&lt;&gt;"",Assumptions!$D$5-H308,IF(C308="","",Assumptions!$D$5-(C308+Assumptions!$B$8))))</f>
        <v/>
      </c>
      <c r="L308" s="5" t="str">
        <f aca="false">IF(K308="","",IF(K308&lt;0,"Phase 1 (unliquidated)",IF(K308&lt;=Assumptions!$B$7,"Phase 1 (recently liquidated)",IF(K308&lt;=Assumptions!$B$6,"Protest required","Deadline passed — litigation only"))))</f>
        <v/>
      </c>
      <c r="M308" s="20" t="str">
        <f aca="false">IF(K308="","",IF(H308&lt;&gt;"",H308+Assumptions!$B$6,C308+Assumptions!$B$8+Assumptions!$B$6))</f>
        <v/>
      </c>
      <c r="N308" s="20" t="str">
        <f aca="false">IF(K308="","",IF(K308&lt;0,IF(H308&lt;&gt;"",H308+Assumptions!$B$7,C308+Assumptions!$B$8+Assumptions!$B$7),M308))</f>
        <v/>
      </c>
      <c r="O308" s="21" t="str">
        <f aca="false">IF(N308="","",N308-Assumptions!$D$5)</f>
        <v/>
      </c>
      <c r="P308" s="22"/>
      <c r="Q308" s="22"/>
      <c r="R308" s="18" t="str">
        <f aca="false">IF(Q308="","",Q308*IF(LEFT(L308,7)="Phase 1",Assumptions!$B$11,Assumptions!$B$12))</f>
        <v/>
      </c>
    </row>
    <row r="309" customFormat="false" ht="15" hidden="false" customHeight="true" outlineLevel="0" collapsed="false">
      <c r="C309" s="24"/>
      <c r="F309" s="22"/>
      <c r="G309" s="23"/>
      <c r="H309" s="24"/>
      <c r="J309" s="18" t="str">
        <f aca="false">IF(F309="","",F309*G309)</f>
        <v/>
      </c>
      <c r="K309" s="5" t="str">
        <f aca="false">IF(A309="","",IF(H309&lt;&gt;"",Assumptions!$D$5-H309,IF(C309="","",Assumptions!$D$5-(C309+Assumptions!$B$8))))</f>
        <v/>
      </c>
      <c r="L309" s="5" t="str">
        <f aca="false">IF(K309="","",IF(K309&lt;0,"Phase 1 (unliquidated)",IF(K309&lt;=Assumptions!$B$7,"Phase 1 (recently liquidated)",IF(K309&lt;=Assumptions!$B$6,"Protest required","Deadline passed — litigation only"))))</f>
        <v/>
      </c>
      <c r="M309" s="20" t="str">
        <f aca="false">IF(K309="","",IF(H309&lt;&gt;"",H309+Assumptions!$B$6,C309+Assumptions!$B$8+Assumptions!$B$6))</f>
        <v/>
      </c>
      <c r="N309" s="20" t="str">
        <f aca="false">IF(K309="","",IF(K309&lt;0,IF(H309&lt;&gt;"",H309+Assumptions!$B$7,C309+Assumptions!$B$8+Assumptions!$B$7),M309))</f>
        <v/>
      </c>
      <c r="O309" s="21" t="str">
        <f aca="false">IF(N309="","",N309-Assumptions!$D$5)</f>
        <v/>
      </c>
      <c r="P309" s="22"/>
      <c r="Q309" s="22"/>
      <c r="R309" s="18" t="str">
        <f aca="false">IF(Q309="","",Q309*IF(LEFT(L309,7)="Phase 1",Assumptions!$B$11,Assumptions!$B$12))</f>
        <v/>
      </c>
    </row>
    <row r="310" customFormat="false" ht="15" hidden="false" customHeight="true" outlineLevel="0" collapsed="false">
      <c r="C310" s="24"/>
      <c r="F310" s="22"/>
      <c r="G310" s="23"/>
      <c r="H310" s="24"/>
      <c r="J310" s="18" t="str">
        <f aca="false">IF(F310="","",F310*G310)</f>
        <v/>
      </c>
      <c r="K310" s="5" t="str">
        <f aca="false">IF(A310="","",IF(H310&lt;&gt;"",Assumptions!$D$5-H310,IF(C310="","",Assumptions!$D$5-(C310+Assumptions!$B$8))))</f>
        <v/>
      </c>
      <c r="L310" s="5" t="str">
        <f aca="false">IF(K310="","",IF(K310&lt;0,"Phase 1 (unliquidated)",IF(K310&lt;=Assumptions!$B$7,"Phase 1 (recently liquidated)",IF(K310&lt;=Assumptions!$B$6,"Protest required","Deadline passed — litigation only"))))</f>
        <v/>
      </c>
      <c r="M310" s="20" t="str">
        <f aca="false">IF(K310="","",IF(H310&lt;&gt;"",H310+Assumptions!$B$6,C310+Assumptions!$B$8+Assumptions!$B$6))</f>
        <v/>
      </c>
      <c r="N310" s="20" t="str">
        <f aca="false">IF(K310="","",IF(K310&lt;0,IF(H310&lt;&gt;"",H310+Assumptions!$B$7,C310+Assumptions!$B$8+Assumptions!$B$7),M310))</f>
        <v/>
      </c>
      <c r="O310" s="21" t="str">
        <f aca="false">IF(N310="","",N310-Assumptions!$D$5)</f>
        <v/>
      </c>
      <c r="P310" s="22"/>
      <c r="Q310" s="22"/>
      <c r="R310" s="18" t="str">
        <f aca="false">IF(Q310="","",Q310*IF(LEFT(L310,7)="Phase 1",Assumptions!$B$11,Assumptions!$B$12))</f>
        <v/>
      </c>
    </row>
    <row r="311" customFormat="false" ht="15" hidden="false" customHeight="true" outlineLevel="0" collapsed="false">
      <c r="C311" s="24"/>
      <c r="F311" s="22"/>
      <c r="G311" s="23"/>
      <c r="H311" s="24"/>
      <c r="J311" s="18" t="str">
        <f aca="false">IF(F311="","",F311*G311)</f>
        <v/>
      </c>
      <c r="K311" s="5" t="str">
        <f aca="false">IF(A311="","",IF(H311&lt;&gt;"",Assumptions!$D$5-H311,IF(C311="","",Assumptions!$D$5-(C311+Assumptions!$B$8))))</f>
        <v/>
      </c>
      <c r="L311" s="5" t="str">
        <f aca="false">IF(K311="","",IF(K311&lt;0,"Phase 1 (unliquidated)",IF(K311&lt;=Assumptions!$B$7,"Phase 1 (recently liquidated)",IF(K311&lt;=Assumptions!$B$6,"Protest required","Deadline passed — litigation only"))))</f>
        <v/>
      </c>
      <c r="M311" s="20" t="str">
        <f aca="false">IF(K311="","",IF(H311&lt;&gt;"",H311+Assumptions!$B$6,C311+Assumptions!$B$8+Assumptions!$B$6))</f>
        <v/>
      </c>
      <c r="N311" s="20" t="str">
        <f aca="false">IF(K311="","",IF(K311&lt;0,IF(H311&lt;&gt;"",H311+Assumptions!$B$7,C311+Assumptions!$B$8+Assumptions!$B$7),M311))</f>
        <v/>
      </c>
      <c r="O311" s="21" t="str">
        <f aca="false">IF(N311="","",N311-Assumptions!$D$5)</f>
        <v/>
      </c>
      <c r="P311" s="22"/>
      <c r="Q311" s="22"/>
      <c r="R311" s="18" t="str">
        <f aca="false">IF(Q311="","",Q311*IF(LEFT(L311,7)="Phase 1",Assumptions!$B$11,Assumptions!$B$12))</f>
        <v/>
      </c>
    </row>
    <row r="312" customFormat="false" ht="15" hidden="false" customHeight="true" outlineLevel="0" collapsed="false">
      <c r="C312" s="24"/>
      <c r="F312" s="22"/>
      <c r="G312" s="23"/>
      <c r="H312" s="24"/>
      <c r="J312" s="18" t="str">
        <f aca="false">IF(F312="","",F312*G312)</f>
        <v/>
      </c>
      <c r="K312" s="5" t="str">
        <f aca="false">IF(A312="","",IF(H312&lt;&gt;"",Assumptions!$D$5-H312,IF(C312="","",Assumptions!$D$5-(C312+Assumptions!$B$8))))</f>
        <v/>
      </c>
      <c r="L312" s="5" t="str">
        <f aca="false">IF(K312="","",IF(K312&lt;0,"Phase 1 (unliquidated)",IF(K312&lt;=Assumptions!$B$7,"Phase 1 (recently liquidated)",IF(K312&lt;=Assumptions!$B$6,"Protest required","Deadline passed — litigation only"))))</f>
        <v/>
      </c>
      <c r="M312" s="20" t="str">
        <f aca="false">IF(K312="","",IF(H312&lt;&gt;"",H312+Assumptions!$B$6,C312+Assumptions!$B$8+Assumptions!$B$6))</f>
        <v/>
      </c>
      <c r="N312" s="20" t="str">
        <f aca="false">IF(K312="","",IF(K312&lt;0,IF(H312&lt;&gt;"",H312+Assumptions!$B$7,C312+Assumptions!$B$8+Assumptions!$B$7),M312))</f>
        <v/>
      </c>
      <c r="O312" s="21" t="str">
        <f aca="false">IF(N312="","",N312-Assumptions!$D$5)</f>
        <v/>
      </c>
      <c r="P312" s="22"/>
      <c r="Q312" s="22"/>
      <c r="R312" s="18" t="str">
        <f aca="false">IF(Q312="","",Q312*IF(LEFT(L312,7)="Phase 1",Assumptions!$B$11,Assumptions!$B$12))</f>
        <v/>
      </c>
    </row>
    <row r="313" customFormat="false" ht="15" hidden="false" customHeight="true" outlineLevel="0" collapsed="false">
      <c r="C313" s="24"/>
      <c r="F313" s="22"/>
      <c r="G313" s="23"/>
      <c r="H313" s="24"/>
      <c r="J313" s="18" t="str">
        <f aca="false">IF(F313="","",F313*G313)</f>
        <v/>
      </c>
      <c r="K313" s="5" t="str">
        <f aca="false">IF(A313="","",IF(H313&lt;&gt;"",Assumptions!$D$5-H313,IF(C313="","",Assumptions!$D$5-(C313+Assumptions!$B$8))))</f>
        <v/>
      </c>
      <c r="L313" s="5" t="str">
        <f aca="false">IF(K313="","",IF(K313&lt;0,"Phase 1 (unliquidated)",IF(K313&lt;=Assumptions!$B$7,"Phase 1 (recently liquidated)",IF(K313&lt;=Assumptions!$B$6,"Protest required","Deadline passed — litigation only"))))</f>
        <v/>
      </c>
      <c r="M313" s="20" t="str">
        <f aca="false">IF(K313="","",IF(H313&lt;&gt;"",H313+Assumptions!$B$6,C313+Assumptions!$B$8+Assumptions!$B$6))</f>
        <v/>
      </c>
      <c r="N313" s="20" t="str">
        <f aca="false">IF(K313="","",IF(K313&lt;0,IF(H313&lt;&gt;"",H313+Assumptions!$B$7,C313+Assumptions!$B$8+Assumptions!$B$7),M313))</f>
        <v/>
      </c>
      <c r="O313" s="21" t="str">
        <f aca="false">IF(N313="","",N313-Assumptions!$D$5)</f>
        <v/>
      </c>
      <c r="P313" s="22"/>
      <c r="Q313" s="22"/>
      <c r="R313" s="18" t="str">
        <f aca="false">IF(Q313="","",Q313*IF(LEFT(L313,7)="Phase 1",Assumptions!$B$11,Assumptions!$B$12))</f>
        <v/>
      </c>
    </row>
    <row r="314" customFormat="false" ht="15" hidden="false" customHeight="true" outlineLevel="0" collapsed="false">
      <c r="C314" s="24"/>
      <c r="F314" s="22"/>
      <c r="G314" s="23"/>
      <c r="H314" s="24"/>
      <c r="J314" s="18" t="str">
        <f aca="false">IF(F314="","",F314*G314)</f>
        <v/>
      </c>
      <c r="K314" s="5" t="str">
        <f aca="false">IF(A314="","",IF(H314&lt;&gt;"",Assumptions!$D$5-H314,IF(C314="","",Assumptions!$D$5-(C314+Assumptions!$B$8))))</f>
        <v/>
      </c>
      <c r="L314" s="5" t="str">
        <f aca="false">IF(K314="","",IF(K314&lt;0,"Phase 1 (unliquidated)",IF(K314&lt;=Assumptions!$B$7,"Phase 1 (recently liquidated)",IF(K314&lt;=Assumptions!$B$6,"Protest required","Deadline passed — litigation only"))))</f>
        <v/>
      </c>
      <c r="M314" s="20" t="str">
        <f aca="false">IF(K314="","",IF(H314&lt;&gt;"",H314+Assumptions!$B$6,C314+Assumptions!$B$8+Assumptions!$B$6))</f>
        <v/>
      </c>
      <c r="N314" s="20" t="str">
        <f aca="false">IF(K314="","",IF(K314&lt;0,IF(H314&lt;&gt;"",H314+Assumptions!$B$7,C314+Assumptions!$B$8+Assumptions!$B$7),M314))</f>
        <v/>
      </c>
      <c r="O314" s="21" t="str">
        <f aca="false">IF(N314="","",N314-Assumptions!$D$5)</f>
        <v/>
      </c>
      <c r="P314" s="22"/>
      <c r="Q314" s="22"/>
      <c r="R314" s="18" t="str">
        <f aca="false">IF(Q314="","",Q314*IF(LEFT(L314,7)="Phase 1",Assumptions!$B$11,Assumptions!$B$12))</f>
        <v/>
      </c>
    </row>
    <row r="315" customFormat="false" ht="15" hidden="false" customHeight="true" outlineLevel="0" collapsed="false">
      <c r="C315" s="24"/>
      <c r="F315" s="22"/>
      <c r="G315" s="23"/>
      <c r="H315" s="24"/>
      <c r="J315" s="18" t="str">
        <f aca="false">IF(F315="","",F315*G315)</f>
        <v/>
      </c>
      <c r="K315" s="5" t="str">
        <f aca="false">IF(A315="","",IF(H315&lt;&gt;"",Assumptions!$D$5-H315,IF(C315="","",Assumptions!$D$5-(C315+Assumptions!$B$8))))</f>
        <v/>
      </c>
      <c r="L315" s="5" t="str">
        <f aca="false">IF(K315="","",IF(K315&lt;0,"Phase 1 (unliquidated)",IF(K315&lt;=Assumptions!$B$7,"Phase 1 (recently liquidated)",IF(K315&lt;=Assumptions!$B$6,"Protest required","Deadline passed — litigation only"))))</f>
        <v/>
      </c>
      <c r="M315" s="20" t="str">
        <f aca="false">IF(K315="","",IF(H315&lt;&gt;"",H315+Assumptions!$B$6,C315+Assumptions!$B$8+Assumptions!$B$6))</f>
        <v/>
      </c>
      <c r="N315" s="20" t="str">
        <f aca="false">IF(K315="","",IF(K315&lt;0,IF(H315&lt;&gt;"",H315+Assumptions!$B$7,C315+Assumptions!$B$8+Assumptions!$B$7),M315))</f>
        <v/>
      </c>
      <c r="O315" s="21" t="str">
        <f aca="false">IF(N315="","",N315-Assumptions!$D$5)</f>
        <v/>
      </c>
      <c r="P315" s="22"/>
      <c r="Q315" s="22"/>
      <c r="R315" s="18" t="str">
        <f aca="false">IF(Q315="","",Q315*IF(LEFT(L315,7)="Phase 1",Assumptions!$B$11,Assumptions!$B$12))</f>
        <v/>
      </c>
    </row>
    <row r="316" customFormat="false" ht="15" hidden="false" customHeight="true" outlineLevel="0" collapsed="false">
      <c r="C316" s="24"/>
      <c r="F316" s="22"/>
      <c r="G316" s="23"/>
      <c r="H316" s="24"/>
      <c r="J316" s="18" t="str">
        <f aca="false">IF(F316="","",F316*G316)</f>
        <v/>
      </c>
      <c r="K316" s="5" t="str">
        <f aca="false">IF(A316="","",IF(H316&lt;&gt;"",Assumptions!$D$5-H316,IF(C316="","",Assumptions!$D$5-(C316+Assumptions!$B$8))))</f>
        <v/>
      </c>
      <c r="L316" s="5" t="str">
        <f aca="false">IF(K316="","",IF(K316&lt;0,"Phase 1 (unliquidated)",IF(K316&lt;=Assumptions!$B$7,"Phase 1 (recently liquidated)",IF(K316&lt;=Assumptions!$B$6,"Protest required","Deadline passed — litigation only"))))</f>
        <v/>
      </c>
      <c r="M316" s="20" t="str">
        <f aca="false">IF(K316="","",IF(H316&lt;&gt;"",H316+Assumptions!$B$6,C316+Assumptions!$B$8+Assumptions!$B$6))</f>
        <v/>
      </c>
      <c r="N316" s="20" t="str">
        <f aca="false">IF(K316="","",IF(K316&lt;0,IF(H316&lt;&gt;"",H316+Assumptions!$B$7,C316+Assumptions!$B$8+Assumptions!$B$7),M316))</f>
        <v/>
      </c>
      <c r="O316" s="21" t="str">
        <f aca="false">IF(N316="","",N316-Assumptions!$D$5)</f>
        <v/>
      </c>
      <c r="P316" s="22"/>
      <c r="Q316" s="22"/>
      <c r="R316" s="18" t="str">
        <f aca="false">IF(Q316="","",Q316*IF(LEFT(L316,7)="Phase 1",Assumptions!$B$11,Assumptions!$B$12))</f>
        <v/>
      </c>
    </row>
    <row r="317" customFormat="false" ht="15" hidden="false" customHeight="true" outlineLevel="0" collapsed="false">
      <c r="C317" s="24"/>
      <c r="F317" s="22"/>
      <c r="G317" s="23"/>
      <c r="H317" s="24"/>
      <c r="J317" s="18" t="str">
        <f aca="false">IF(F317="","",F317*G317)</f>
        <v/>
      </c>
      <c r="K317" s="5" t="str">
        <f aca="false">IF(A317="","",IF(H317&lt;&gt;"",Assumptions!$D$5-H317,IF(C317="","",Assumptions!$D$5-(C317+Assumptions!$B$8))))</f>
        <v/>
      </c>
      <c r="L317" s="5" t="str">
        <f aca="false">IF(K317="","",IF(K317&lt;0,"Phase 1 (unliquidated)",IF(K317&lt;=Assumptions!$B$7,"Phase 1 (recently liquidated)",IF(K317&lt;=Assumptions!$B$6,"Protest required","Deadline passed — litigation only"))))</f>
        <v/>
      </c>
      <c r="M317" s="20" t="str">
        <f aca="false">IF(K317="","",IF(H317&lt;&gt;"",H317+Assumptions!$B$6,C317+Assumptions!$B$8+Assumptions!$B$6))</f>
        <v/>
      </c>
      <c r="N317" s="20" t="str">
        <f aca="false">IF(K317="","",IF(K317&lt;0,IF(H317&lt;&gt;"",H317+Assumptions!$B$7,C317+Assumptions!$B$8+Assumptions!$B$7),M317))</f>
        <v/>
      </c>
      <c r="O317" s="21" t="str">
        <f aca="false">IF(N317="","",N317-Assumptions!$D$5)</f>
        <v/>
      </c>
      <c r="P317" s="22"/>
      <c r="Q317" s="22"/>
      <c r="R317" s="18" t="str">
        <f aca="false">IF(Q317="","",Q317*IF(LEFT(L317,7)="Phase 1",Assumptions!$B$11,Assumptions!$B$12))</f>
        <v/>
      </c>
    </row>
    <row r="318" customFormat="false" ht="15" hidden="false" customHeight="true" outlineLevel="0" collapsed="false">
      <c r="C318" s="24"/>
      <c r="F318" s="22"/>
      <c r="G318" s="23"/>
      <c r="H318" s="24"/>
      <c r="J318" s="18" t="str">
        <f aca="false">IF(F318="","",F318*G318)</f>
        <v/>
      </c>
      <c r="K318" s="5" t="str">
        <f aca="false">IF(A318="","",IF(H318&lt;&gt;"",Assumptions!$D$5-H318,IF(C318="","",Assumptions!$D$5-(C318+Assumptions!$B$8))))</f>
        <v/>
      </c>
      <c r="L318" s="5" t="str">
        <f aca="false">IF(K318="","",IF(K318&lt;0,"Phase 1 (unliquidated)",IF(K318&lt;=Assumptions!$B$7,"Phase 1 (recently liquidated)",IF(K318&lt;=Assumptions!$B$6,"Protest required","Deadline passed — litigation only"))))</f>
        <v/>
      </c>
      <c r="M318" s="20" t="str">
        <f aca="false">IF(K318="","",IF(H318&lt;&gt;"",H318+Assumptions!$B$6,C318+Assumptions!$B$8+Assumptions!$B$6))</f>
        <v/>
      </c>
      <c r="N318" s="20" t="str">
        <f aca="false">IF(K318="","",IF(K318&lt;0,IF(H318&lt;&gt;"",H318+Assumptions!$B$7,C318+Assumptions!$B$8+Assumptions!$B$7),M318))</f>
        <v/>
      </c>
      <c r="O318" s="21" t="str">
        <f aca="false">IF(N318="","",N318-Assumptions!$D$5)</f>
        <v/>
      </c>
      <c r="P318" s="22"/>
      <c r="Q318" s="22"/>
      <c r="R318" s="18" t="str">
        <f aca="false">IF(Q318="","",Q318*IF(LEFT(L318,7)="Phase 1",Assumptions!$B$11,Assumptions!$B$12))</f>
        <v/>
      </c>
    </row>
    <row r="319" customFormat="false" ht="15" hidden="false" customHeight="true" outlineLevel="0" collapsed="false">
      <c r="C319" s="24"/>
      <c r="F319" s="22"/>
      <c r="G319" s="23"/>
      <c r="H319" s="24"/>
      <c r="J319" s="18" t="str">
        <f aca="false">IF(F319="","",F319*G319)</f>
        <v/>
      </c>
      <c r="K319" s="5" t="str">
        <f aca="false">IF(A319="","",IF(H319&lt;&gt;"",Assumptions!$D$5-H319,IF(C319="","",Assumptions!$D$5-(C319+Assumptions!$B$8))))</f>
        <v/>
      </c>
      <c r="L319" s="5" t="str">
        <f aca="false">IF(K319="","",IF(K319&lt;0,"Phase 1 (unliquidated)",IF(K319&lt;=Assumptions!$B$7,"Phase 1 (recently liquidated)",IF(K319&lt;=Assumptions!$B$6,"Protest required","Deadline passed — litigation only"))))</f>
        <v/>
      </c>
      <c r="M319" s="20" t="str">
        <f aca="false">IF(K319="","",IF(H319&lt;&gt;"",H319+Assumptions!$B$6,C319+Assumptions!$B$8+Assumptions!$B$6))</f>
        <v/>
      </c>
      <c r="N319" s="20" t="str">
        <f aca="false">IF(K319="","",IF(K319&lt;0,IF(H319&lt;&gt;"",H319+Assumptions!$B$7,C319+Assumptions!$B$8+Assumptions!$B$7),M319))</f>
        <v/>
      </c>
      <c r="O319" s="21" t="str">
        <f aca="false">IF(N319="","",N319-Assumptions!$D$5)</f>
        <v/>
      </c>
      <c r="P319" s="22"/>
      <c r="Q319" s="22"/>
      <c r="R319" s="18" t="str">
        <f aca="false">IF(Q319="","",Q319*IF(LEFT(L319,7)="Phase 1",Assumptions!$B$11,Assumptions!$B$12))</f>
        <v/>
      </c>
    </row>
    <row r="320" customFormat="false" ht="15" hidden="false" customHeight="true" outlineLevel="0" collapsed="false">
      <c r="C320" s="24"/>
      <c r="F320" s="22"/>
      <c r="G320" s="23"/>
      <c r="H320" s="24"/>
      <c r="J320" s="18" t="str">
        <f aca="false">IF(F320="","",F320*G320)</f>
        <v/>
      </c>
      <c r="K320" s="5" t="str">
        <f aca="false">IF(A320="","",IF(H320&lt;&gt;"",Assumptions!$D$5-H320,IF(C320="","",Assumptions!$D$5-(C320+Assumptions!$B$8))))</f>
        <v/>
      </c>
      <c r="L320" s="5" t="str">
        <f aca="false">IF(K320="","",IF(K320&lt;0,"Phase 1 (unliquidated)",IF(K320&lt;=Assumptions!$B$7,"Phase 1 (recently liquidated)",IF(K320&lt;=Assumptions!$B$6,"Protest required","Deadline passed — litigation only"))))</f>
        <v/>
      </c>
      <c r="M320" s="20" t="str">
        <f aca="false">IF(K320="","",IF(H320&lt;&gt;"",H320+Assumptions!$B$6,C320+Assumptions!$B$8+Assumptions!$B$6))</f>
        <v/>
      </c>
      <c r="N320" s="20" t="str">
        <f aca="false">IF(K320="","",IF(K320&lt;0,IF(H320&lt;&gt;"",H320+Assumptions!$B$7,C320+Assumptions!$B$8+Assumptions!$B$7),M320))</f>
        <v/>
      </c>
      <c r="O320" s="21" t="str">
        <f aca="false">IF(N320="","",N320-Assumptions!$D$5)</f>
        <v/>
      </c>
      <c r="P320" s="22"/>
      <c r="Q320" s="22"/>
      <c r="R320" s="18" t="str">
        <f aca="false">IF(Q320="","",Q320*IF(LEFT(L320,7)="Phase 1",Assumptions!$B$11,Assumptions!$B$12))</f>
        <v/>
      </c>
    </row>
    <row r="321" customFormat="false" ht="15" hidden="false" customHeight="true" outlineLevel="0" collapsed="false">
      <c r="C321" s="24"/>
      <c r="F321" s="22"/>
      <c r="G321" s="23"/>
      <c r="H321" s="24"/>
      <c r="J321" s="18" t="str">
        <f aca="false">IF(F321="","",F321*G321)</f>
        <v/>
      </c>
      <c r="K321" s="5" t="str">
        <f aca="false">IF(A321="","",IF(H321&lt;&gt;"",Assumptions!$D$5-H321,IF(C321="","",Assumptions!$D$5-(C321+Assumptions!$B$8))))</f>
        <v/>
      </c>
      <c r="L321" s="5" t="str">
        <f aca="false">IF(K321="","",IF(K321&lt;0,"Phase 1 (unliquidated)",IF(K321&lt;=Assumptions!$B$7,"Phase 1 (recently liquidated)",IF(K321&lt;=Assumptions!$B$6,"Protest required","Deadline passed — litigation only"))))</f>
        <v/>
      </c>
      <c r="M321" s="20" t="str">
        <f aca="false">IF(K321="","",IF(H321&lt;&gt;"",H321+Assumptions!$B$6,C321+Assumptions!$B$8+Assumptions!$B$6))</f>
        <v/>
      </c>
      <c r="N321" s="20" t="str">
        <f aca="false">IF(K321="","",IF(K321&lt;0,IF(H321&lt;&gt;"",H321+Assumptions!$B$7,C321+Assumptions!$B$8+Assumptions!$B$7),M321))</f>
        <v/>
      </c>
      <c r="O321" s="21" t="str">
        <f aca="false">IF(N321="","",N321-Assumptions!$D$5)</f>
        <v/>
      </c>
      <c r="P321" s="22"/>
      <c r="Q321" s="22"/>
      <c r="R321" s="18" t="str">
        <f aca="false">IF(Q321="","",Q321*IF(LEFT(L321,7)="Phase 1",Assumptions!$B$11,Assumptions!$B$12))</f>
        <v/>
      </c>
    </row>
    <row r="322" customFormat="false" ht="15" hidden="false" customHeight="true" outlineLevel="0" collapsed="false">
      <c r="C322" s="24"/>
      <c r="F322" s="22"/>
      <c r="G322" s="23"/>
      <c r="H322" s="24"/>
      <c r="J322" s="18" t="str">
        <f aca="false">IF(F322="","",F322*G322)</f>
        <v/>
      </c>
      <c r="K322" s="5" t="str">
        <f aca="false">IF(A322="","",IF(H322&lt;&gt;"",Assumptions!$D$5-H322,IF(C322="","",Assumptions!$D$5-(C322+Assumptions!$B$8))))</f>
        <v/>
      </c>
      <c r="L322" s="5" t="str">
        <f aca="false">IF(K322="","",IF(K322&lt;0,"Phase 1 (unliquidated)",IF(K322&lt;=Assumptions!$B$7,"Phase 1 (recently liquidated)",IF(K322&lt;=Assumptions!$B$6,"Protest required","Deadline passed — litigation only"))))</f>
        <v/>
      </c>
      <c r="M322" s="20" t="str">
        <f aca="false">IF(K322="","",IF(H322&lt;&gt;"",H322+Assumptions!$B$6,C322+Assumptions!$B$8+Assumptions!$B$6))</f>
        <v/>
      </c>
      <c r="N322" s="20" t="str">
        <f aca="false">IF(K322="","",IF(K322&lt;0,IF(H322&lt;&gt;"",H322+Assumptions!$B$7,C322+Assumptions!$B$8+Assumptions!$B$7),M322))</f>
        <v/>
      </c>
      <c r="O322" s="21" t="str">
        <f aca="false">IF(N322="","",N322-Assumptions!$D$5)</f>
        <v/>
      </c>
      <c r="P322" s="22"/>
      <c r="Q322" s="22"/>
      <c r="R322" s="18" t="str">
        <f aca="false">IF(Q322="","",Q322*IF(LEFT(L322,7)="Phase 1",Assumptions!$B$11,Assumptions!$B$12))</f>
        <v/>
      </c>
    </row>
    <row r="323" customFormat="false" ht="15" hidden="false" customHeight="true" outlineLevel="0" collapsed="false">
      <c r="C323" s="24"/>
      <c r="F323" s="22"/>
      <c r="G323" s="23"/>
      <c r="H323" s="24"/>
      <c r="J323" s="18" t="str">
        <f aca="false">IF(F323="","",F323*G323)</f>
        <v/>
      </c>
      <c r="K323" s="5" t="str">
        <f aca="false">IF(A323="","",IF(H323&lt;&gt;"",Assumptions!$D$5-H323,IF(C323="","",Assumptions!$D$5-(C323+Assumptions!$B$8))))</f>
        <v/>
      </c>
      <c r="L323" s="5" t="str">
        <f aca="false">IF(K323="","",IF(K323&lt;0,"Phase 1 (unliquidated)",IF(K323&lt;=Assumptions!$B$7,"Phase 1 (recently liquidated)",IF(K323&lt;=Assumptions!$B$6,"Protest required","Deadline passed — litigation only"))))</f>
        <v/>
      </c>
      <c r="M323" s="20" t="str">
        <f aca="false">IF(K323="","",IF(H323&lt;&gt;"",H323+Assumptions!$B$6,C323+Assumptions!$B$8+Assumptions!$B$6))</f>
        <v/>
      </c>
      <c r="N323" s="20" t="str">
        <f aca="false">IF(K323="","",IF(K323&lt;0,IF(H323&lt;&gt;"",H323+Assumptions!$B$7,C323+Assumptions!$B$8+Assumptions!$B$7),M323))</f>
        <v/>
      </c>
      <c r="O323" s="21" t="str">
        <f aca="false">IF(N323="","",N323-Assumptions!$D$5)</f>
        <v/>
      </c>
      <c r="P323" s="22"/>
      <c r="Q323" s="22"/>
      <c r="R323" s="18" t="str">
        <f aca="false">IF(Q323="","",Q323*IF(LEFT(L323,7)="Phase 1",Assumptions!$B$11,Assumptions!$B$12))</f>
        <v/>
      </c>
    </row>
    <row r="324" customFormat="false" ht="15" hidden="false" customHeight="true" outlineLevel="0" collapsed="false">
      <c r="C324" s="24"/>
      <c r="F324" s="22"/>
      <c r="G324" s="23"/>
      <c r="H324" s="24"/>
      <c r="J324" s="18" t="str">
        <f aca="false">IF(F324="","",F324*G324)</f>
        <v/>
      </c>
      <c r="K324" s="5" t="str">
        <f aca="false">IF(A324="","",IF(H324&lt;&gt;"",Assumptions!$D$5-H324,IF(C324="","",Assumptions!$D$5-(C324+Assumptions!$B$8))))</f>
        <v/>
      </c>
      <c r="L324" s="5" t="str">
        <f aca="false">IF(K324="","",IF(K324&lt;0,"Phase 1 (unliquidated)",IF(K324&lt;=Assumptions!$B$7,"Phase 1 (recently liquidated)",IF(K324&lt;=Assumptions!$B$6,"Protest required","Deadline passed — litigation only"))))</f>
        <v/>
      </c>
      <c r="M324" s="20" t="str">
        <f aca="false">IF(K324="","",IF(H324&lt;&gt;"",H324+Assumptions!$B$6,C324+Assumptions!$B$8+Assumptions!$B$6))</f>
        <v/>
      </c>
      <c r="N324" s="20" t="str">
        <f aca="false">IF(K324="","",IF(K324&lt;0,IF(H324&lt;&gt;"",H324+Assumptions!$B$7,C324+Assumptions!$B$8+Assumptions!$B$7),M324))</f>
        <v/>
      </c>
      <c r="O324" s="21" t="str">
        <f aca="false">IF(N324="","",N324-Assumptions!$D$5)</f>
        <v/>
      </c>
      <c r="P324" s="22"/>
      <c r="Q324" s="22"/>
      <c r="R324" s="18" t="str">
        <f aca="false">IF(Q324="","",Q324*IF(LEFT(L324,7)="Phase 1",Assumptions!$B$11,Assumptions!$B$12))</f>
        <v/>
      </c>
    </row>
    <row r="325" customFormat="false" ht="15" hidden="false" customHeight="true" outlineLevel="0" collapsed="false">
      <c r="C325" s="24"/>
      <c r="F325" s="22"/>
      <c r="G325" s="23"/>
      <c r="H325" s="24"/>
      <c r="J325" s="18" t="str">
        <f aca="false">IF(F325="","",F325*G325)</f>
        <v/>
      </c>
      <c r="K325" s="5" t="str">
        <f aca="false">IF(A325="","",IF(H325&lt;&gt;"",Assumptions!$D$5-H325,IF(C325="","",Assumptions!$D$5-(C325+Assumptions!$B$8))))</f>
        <v/>
      </c>
      <c r="L325" s="5" t="str">
        <f aca="false">IF(K325="","",IF(K325&lt;0,"Phase 1 (unliquidated)",IF(K325&lt;=Assumptions!$B$7,"Phase 1 (recently liquidated)",IF(K325&lt;=Assumptions!$B$6,"Protest required","Deadline passed — litigation only"))))</f>
        <v/>
      </c>
      <c r="M325" s="20" t="str">
        <f aca="false">IF(K325="","",IF(H325&lt;&gt;"",H325+Assumptions!$B$6,C325+Assumptions!$B$8+Assumptions!$B$6))</f>
        <v/>
      </c>
      <c r="N325" s="20" t="str">
        <f aca="false">IF(K325="","",IF(K325&lt;0,IF(H325&lt;&gt;"",H325+Assumptions!$B$7,C325+Assumptions!$B$8+Assumptions!$B$7),M325))</f>
        <v/>
      </c>
      <c r="O325" s="21" t="str">
        <f aca="false">IF(N325="","",N325-Assumptions!$D$5)</f>
        <v/>
      </c>
      <c r="P325" s="22"/>
      <c r="Q325" s="22"/>
      <c r="R325" s="18" t="str">
        <f aca="false">IF(Q325="","",Q325*IF(LEFT(L325,7)="Phase 1",Assumptions!$B$11,Assumptions!$B$12))</f>
        <v/>
      </c>
    </row>
    <row r="326" customFormat="false" ht="15" hidden="false" customHeight="true" outlineLevel="0" collapsed="false">
      <c r="C326" s="24"/>
      <c r="F326" s="22"/>
      <c r="G326" s="23"/>
      <c r="H326" s="24"/>
      <c r="J326" s="18" t="str">
        <f aca="false">IF(F326="","",F326*G326)</f>
        <v/>
      </c>
      <c r="K326" s="5" t="str">
        <f aca="false">IF(A326="","",IF(H326&lt;&gt;"",Assumptions!$D$5-H326,IF(C326="","",Assumptions!$D$5-(C326+Assumptions!$B$8))))</f>
        <v/>
      </c>
      <c r="L326" s="5" t="str">
        <f aca="false">IF(K326="","",IF(K326&lt;0,"Phase 1 (unliquidated)",IF(K326&lt;=Assumptions!$B$7,"Phase 1 (recently liquidated)",IF(K326&lt;=Assumptions!$B$6,"Protest required","Deadline passed — litigation only"))))</f>
        <v/>
      </c>
      <c r="M326" s="20" t="str">
        <f aca="false">IF(K326="","",IF(H326&lt;&gt;"",H326+Assumptions!$B$6,C326+Assumptions!$B$8+Assumptions!$B$6))</f>
        <v/>
      </c>
      <c r="N326" s="20" t="str">
        <f aca="false">IF(K326="","",IF(K326&lt;0,IF(H326&lt;&gt;"",H326+Assumptions!$B$7,C326+Assumptions!$B$8+Assumptions!$B$7),M326))</f>
        <v/>
      </c>
      <c r="O326" s="21" t="str">
        <f aca="false">IF(N326="","",N326-Assumptions!$D$5)</f>
        <v/>
      </c>
      <c r="P326" s="22"/>
      <c r="Q326" s="22"/>
      <c r="R326" s="18" t="str">
        <f aca="false">IF(Q326="","",Q326*IF(LEFT(L326,7)="Phase 1",Assumptions!$B$11,Assumptions!$B$12))</f>
        <v/>
      </c>
    </row>
    <row r="327" customFormat="false" ht="15" hidden="false" customHeight="true" outlineLevel="0" collapsed="false">
      <c r="C327" s="24"/>
      <c r="F327" s="22"/>
      <c r="G327" s="23"/>
      <c r="H327" s="24"/>
      <c r="J327" s="18" t="str">
        <f aca="false">IF(F327="","",F327*G327)</f>
        <v/>
      </c>
      <c r="K327" s="5" t="str">
        <f aca="false">IF(A327="","",IF(H327&lt;&gt;"",Assumptions!$D$5-H327,IF(C327="","",Assumptions!$D$5-(C327+Assumptions!$B$8))))</f>
        <v/>
      </c>
      <c r="L327" s="5" t="str">
        <f aca="false">IF(K327="","",IF(K327&lt;0,"Phase 1 (unliquidated)",IF(K327&lt;=Assumptions!$B$7,"Phase 1 (recently liquidated)",IF(K327&lt;=Assumptions!$B$6,"Protest required","Deadline passed — litigation only"))))</f>
        <v/>
      </c>
      <c r="M327" s="20" t="str">
        <f aca="false">IF(K327="","",IF(H327&lt;&gt;"",H327+Assumptions!$B$6,C327+Assumptions!$B$8+Assumptions!$B$6))</f>
        <v/>
      </c>
      <c r="N327" s="20" t="str">
        <f aca="false">IF(K327="","",IF(K327&lt;0,IF(H327&lt;&gt;"",H327+Assumptions!$B$7,C327+Assumptions!$B$8+Assumptions!$B$7),M327))</f>
        <v/>
      </c>
      <c r="O327" s="21" t="str">
        <f aca="false">IF(N327="","",N327-Assumptions!$D$5)</f>
        <v/>
      </c>
      <c r="P327" s="22"/>
      <c r="Q327" s="22"/>
      <c r="R327" s="18" t="str">
        <f aca="false">IF(Q327="","",Q327*IF(LEFT(L327,7)="Phase 1",Assumptions!$B$11,Assumptions!$B$12))</f>
        <v/>
      </c>
    </row>
    <row r="328" customFormat="false" ht="15" hidden="false" customHeight="true" outlineLevel="0" collapsed="false">
      <c r="C328" s="24"/>
      <c r="F328" s="22"/>
      <c r="G328" s="23"/>
      <c r="H328" s="24"/>
      <c r="J328" s="18" t="str">
        <f aca="false">IF(F328="","",F328*G328)</f>
        <v/>
      </c>
      <c r="K328" s="5" t="str">
        <f aca="false">IF(A328="","",IF(H328&lt;&gt;"",Assumptions!$D$5-H328,IF(C328="","",Assumptions!$D$5-(C328+Assumptions!$B$8))))</f>
        <v/>
      </c>
      <c r="L328" s="5" t="str">
        <f aca="false">IF(K328="","",IF(K328&lt;0,"Phase 1 (unliquidated)",IF(K328&lt;=Assumptions!$B$7,"Phase 1 (recently liquidated)",IF(K328&lt;=Assumptions!$B$6,"Protest required","Deadline passed — litigation only"))))</f>
        <v/>
      </c>
      <c r="M328" s="20" t="str">
        <f aca="false">IF(K328="","",IF(H328&lt;&gt;"",H328+Assumptions!$B$6,C328+Assumptions!$B$8+Assumptions!$B$6))</f>
        <v/>
      </c>
      <c r="N328" s="20" t="str">
        <f aca="false">IF(K328="","",IF(K328&lt;0,IF(H328&lt;&gt;"",H328+Assumptions!$B$7,C328+Assumptions!$B$8+Assumptions!$B$7),M328))</f>
        <v/>
      </c>
      <c r="O328" s="21" t="str">
        <f aca="false">IF(N328="","",N328-Assumptions!$D$5)</f>
        <v/>
      </c>
      <c r="P328" s="22"/>
      <c r="Q328" s="22"/>
      <c r="R328" s="18" t="str">
        <f aca="false">IF(Q328="","",Q328*IF(LEFT(L328,7)="Phase 1",Assumptions!$B$11,Assumptions!$B$12))</f>
        <v/>
      </c>
    </row>
    <row r="329" customFormat="false" ht="15" hidden="false" customHeight="true" outlineLevel="0" collapsed="false">
      <c r="C329" s="24"/>
      <c r="F329" s="22"/>
      <c r="G329" s="23"/>
      <c r="H329" s="24"/>
      <c r="J329" s="18" t="str">
        <f aca="false">IF(F329="","",F329*G329)</f>
        <v/>
      </c>
      <c r="K329" s="5" t="str">
        <f aca="false">IF(A329="","",IF(H329&lt;&gt;"",Assumptions!$D$5-H329,IF(C329="","",Assumptions!$D$5-(C329+Assumptions!$B$8))))</f>
        <v/>
      </c>
      <c r="L329" s="5" t="str">
        <f aca="false">IF(K329="","",IF(K329&lt;0,"Phase 1 (unliquidated)",IF(K329&lt;=Assumptions!$B$7,"Phase 1 (recently liquidated)",IF(K329&lt;=Assumptions!$B$6,"Protest required","Deadline passed — litigation only"))))</f>
        <v/>
      </c>
      <c r="M329" s="20" t="str">
        <f aca="false">IF(K329="","",IF(H329&lt;&gt;"",H329+Assumptions!$B$6,C329+Assumptions!$B$8+Assumptions!$B$6))</f>
        <v/>
      </c>
      <c r="N329" s="20" t="str">
        <f aca="false">IF(K329="","",IF(K329&lt;0,IF(H329&lt;&gt;"",H329+Assumptions!$B$7,C329+Assumptions!$B$8+Assumptions!$B$7),M329))</f>
        <v/>
      </c>
      <c r="O329" s="21" t="str">
        <f aca="false">IF(N329="","",N329-Assumptions!$D$5)</f>
        <v/>
      </c>
      <c r="P329" s="22"/>
      <c r="Q329" s="22"/>
      <c r="R329" s="18" t="str">
        <f aca="false">IF(Q329="","",Q329*IF(LEFT(L329,7)="Phase 1",Assumptions!$B$11,Assumptions!$B$12))</f>
        <v/>
      </c>
    </row>
    <row r="330" customFormat="false" ht="15" hidden="false" customHeight="true" outlineLevel="0" collapsed="false">
      <c r="C330" s="24"/>
      <c r="F330" s="22"/>
      <c r="G330" s="23"/>
      <c r="H330" s="24"/>
      <c r="J330" s="18" t="str">
        <f aca="false">IF(F330="","",F330*G330)</f>
        <v/>
      </c>
      <c r="K330" s="5" t="str">
        <f aca="false">IF(A330="","",IF(H330&lt;&gt;"",Assumptions!$D$5-H330,IF(C330="","",Assumptions!$D$5-(C330+Assumptions!$B$8))))</f>
        <v/>
      </c>
      <c r="L330" s="5" t="str">
        <f aca="false">IF(K330="","",IF(K330&lt;0,"Phase 1 (unliquidated)",IF(K330&lt;=Assumptions!$B$7,"Phase 1 (recently liquidated)",IF(K330&lt;=Assumptions!$B$6,"Protest required","Deadline passed — litigation only"))))</f>
        <v/>
      </c>
      <c r="M330" s="20" t="str">
        <f aca="false">IF(K330="","",IF(H330&lt;&gt;"",H330+Assumptions!$B$6,C330+Assumptions!$B$8+Assumptions!$B$6))</f>
        <v/>
      </c>
      <c r="N330" s="20" t="str">
        <f aca="false">IF(K330="","",IF(K330&lt;0,IF(H330&lt;&gt;"",H330+Assumptions!$B$7,C330+Assumptions!$B$8+Assumptions!$B$7),M330))</f>
        <v/>
      </c>
      <c r="O330" s="21" t="str">
        <f aca="false">IF(N330="","",N330-Assumptions!$D$5)</f>
        <v/>
      </c>
      <c r="P330" s="22"/>
      <c r="Q330" s="22"/>
      <c r="R330" s="18" t="str">
        <f aca="false">IF(Q330="","",Q330*IF(LEFT(L330,7)="Phase 1",Assumptions!$B$11,Assumptions!$B$12))</f>
        <v/>
      </c>
    </row>
    <row r="331" customFormat="false" ht="15" hidden="false" customHeight="true" outlineLevel="0" collapsed="false">
      <c r="C331" s="24"/>
      <c r="F331" s="22"/>
      <c r="G331" s="23"/>
      <c r="H331" s="24"/>
      <c r="J331" s="18" t="str">
        <f aca="false">IF(F331="","",F331*G331)</f>
        <v/>
      </c>
      <c r="K331" s="5" t="str">
        <f aca="false">IF(A331="","",IF(H331&lt;&gt;"",Assumptions!$D$5-H331,IF(C331="","",Assumptions!$D$5-(C331+Assumptions!$B$8))))</f>
        <v/>
      </c>
      <c r="L331" s="5" t="str">
        <f aca="false">IF(K331="","",IF(K331&lt;0,"Phase 1 (unliquidated)",IF(K331&lt;=Assumptions!$B$7,"Phase 1 (recently liquidated)",IF(K331&lt;=Assumptions!$B$6,"Protest required","Deadline passed — litigation only"))))</f>
        <v/>
      </c>
      <c r="M331" s="20" t="str">
        <f aca="false">IF(K331="","",IF(H331&lt;&gt;"",H331+Assumptions!$B$6,C331+Assumptions!$B$8+Assumptions!$B$6))</f>
        <v/>
      </c>
      <c r="N331" s="20" t="str">
        <f aca="false">IF(K331="","",IF(K331&lt;0,IF(H331&lt;&gt;"",H331+Assumptions!$B$7,C331+Assumptions!$B$8+Assumptions!$B$7),M331))</f>
        <v/>
      </c>
      <c r="O331" s="21" t="str">
        <f aca="false">IF(N331="","",N331-Assumptions!$D$5)</f>
        <v/>
      </c>
      <c r="P331" s="22"/>
      <c r="Q331" s="22"/>
      <c r="R331" s="18" t="str">
        <f aca="false">IF(Q331="","",Q331*IF(LEFT(L331,7)="Phase 1",Assumptions!$B$11,Assumptions!$B$12))</f>
        <v/>
      </c>
    </row>
    <row r="332" customFormat="false" ht="15" hidden="false" customHeight="true" outlineLevel="0" collapsed="false">
      <c r="C332" s="24"/>
      <c r="F332" s="22"/>
      <c r="G332" s="23"/>
      <c r="H332" s="24"/>
      <c r="J332" s="18" t="str">
        <f aca="false">IF(F332="","",F332*G332)</f>
        <v/>
      </c>
      <c r="K332" s="5" t="str">
        <f aca="false">IF(A332="","",IF(H332&lt;&gt;"",Assumptions!$D$5-H332,IF(C332="","",Assumptions!$D$5-(C332+Assumptions!$B$8))))</f>
        <v/>
      </c>
      <c r="L332" s="5" t="str">
        <f aca="false">IF(K332="","",IF(K332&lt;0,"Phase 1 (unliquidated)",IF(K332&lt;=Assumptions!$B$7,"Phase 1 (recently liquidated)",IF(K332&lt;=Assumptions!$B$6,"Protest required","Deadline passed — litigation only"))))</f>
        <v/>
      </c>
      <c r="M332" s="20" t="str">
        <f aca="false">IF(K332="","",IF(H332&lt;&gt;"",H332+Assumptions!$B$6,C332+Assumptions!$B$8+Assumptions!$B$6))</f>
        <v/>
      </c>
      <c r="N332" s="20" t="str">
        <f aca="false">IF(K332="","",IF(K332&lt;0,IF(H332&lt;&gt;"",H332+Assumptions!$B$7,C332+Assumptions!$B$8+Assumptions!$B$7),M332))</f>
        <v/>
      </c>
      <c r="O332" s="21" t="str">
        <f aca="false">IF(N332="","",N332-Assumptions!$D$5)</f>
        <v/>
      </c>
      <c r="P332" s="22"/>
      <c r="Q332" s="22"/>
      <c r="R332" s="18" t="str">
        <f aca="false">IF(Q332="","",Q332*IF(LEFT(L332,7)="Phase 1",Assumptions!$B$11,Assumptions!$B$12))</f>
        <v/>
      </c>
    </row>
    <row r="333" customFormat="false" ht="15" hidden="false" customHeight="true" outlineLevel="0" collapsed="false">
      <c r="C333" s="24"/>
      <c r="F333" s="22"/>
      <c r="G333" s="23"/>
      <c r="H333" s="24"/>
      <c r="J333" s="18" t="str">
        <f aca="false">IF(F333="","",F333*G333)</f>
        <v/>
      </c>
      <c r="K333" s="5" t="str">
        <f aca="false">IF(A333="","",IF(H333&lt;&gt;"",Assumptions!$D$5-H333,IF(C333="","",Assumptions!$D$5-(C333+Assumptions!$B$8))))</f>
        <v/>
      </c>
      <c r="L333" s="5" t="str">
        <f aca="false">IF(K333="","",IF(K333&lt;0,"Phase 1 (unliquidated)",IF(K333&lt;=Assumptions!$B$7,"Phase 1 (recently liquidated)",IF(K333&lt;=Assumptions!$B$6,"Protest required","Deadline passed — litigation only"))))</f>
        <v/>
      </c>
      <c r="M333" s="20" t="str">
        <f aca="false">IF(K333="","",IF(H333&lt;&gt;"",H333+Assumptions!$B$6,C333+Assumptions!$B$8+Assumptions!$B$6))</f>
        <v/>
      </c>
      <c r="N333" s="20" t="str">
        <f aca="false">IF(K333="","",IF(K333&lt;0,IF(H333&lt;&gt;"",H333+Assumptions!$B$7,C333+Assumptions!$B$8+Assumptions!$B$7),M333))</f>
        <v/>
      </c>
      <c r="O333" s="21" t="str">
        <f aca="false">IF(N333="","",N333-Assumptions!$D$5)</f>
        <v/>
      </c>
      <c r="P333" s="22"/>
      <c r="Q333" s="22"/>
      <c r="R333" s="18" t="str">
        <f aca="false">IF(Q333="","",Q333*IF(LEFT(L333,7)="Phase 1",Assumptions!$B$11,Assumptions!$B$12))</f>
        <v/>
      </c>
    </row>
    <row r="334" customFormat="false" ht="15" hidden="false" customHeight="true" outlineLevel="0" collapsed="false">
      <c r="C334" s="24"/>
      <c r="F334" s="22"/>
      <c r="G334" s="23"/>
      <c r="H334" s="24"/>
      <c r="J334" s="18" t="str">
        <f aca="false">IF(F334="","",F334*G334)</f>
        <v/>
      </c>
      <c r="K334" s="5" t="str">
        <f aca="false">IF(A334="","",IF(H334&lt;&gt;"",Assumptions!$D$5-H334,IF(C334="","",Assumptions!$D$5-(C334+Assumptions!$B$8))))</f>
        <v/>
      </c>
      <c r="L334" s="5" t="str">
        <f aca="false">IF(K334="","",IF(K334&lt;0,"Phase 1 (unliquidated)",IF(K334&lt;=Assumptions!$B$7,"Phase 1 (recently liquidated)",IF(K334&lt;=Assumptions!$B$6,"Protest required","Deadline passed — litigation only"))))</f>
        <v/>
      </c>
      <c r="M334" s="20" t="str">
        <f aca="false">IF(K334="","",IF(H334&lt;&gt;"",H334+Assumptions!$B$6,C334+Assumptions!$B$8+Assumptions!$B$6))</f>
        <v/>
      </c>
      <c r="N334" s="20" t="str">
        <f aca="false">IF(K334="","",IF(K334&lt;0,IF(H334&lt;&gt;"",H334+Assumptions!$B$7,C334+Assumptions!$B$8+Assumptions!$B$7),M334))</f>
        <v/>
      </c>
      <c r="O334" s="21" t="str">
        <f aca="false">IF(N334="","",N334-Assumptions!$D$5)</f>
        <v/>
      </c>
      <c r="P334" s="22"/>
      <c r="Q334" s="22"/>
      <c r="R334" s="18" t="str">
        <f aca="false">IF(Q334="","",Q334*IF(LEFT(L334,7)="Phase 1",Assumptions!$B$11,Assumptions!$B$12))</f>
        <v/>
      </c>
    </row>
    <row r="335" customFormat="false" ht="15" hidden="false" customHeight="true" outlineLevel="0" collapsed="false">
      <c r="C335" s="24"/>
      <c r="F335" s="22"/>
      <c r="G335" s="23"/>
      <c r="H335" s="24"/>
      <c r="J335" s="18" t="str">
        <f aca="false">IF(F335="","",F335*G335)</f>
        <v/>
      </c>
      <c r="K335" s="5" t="str">
        <f aca="false">IF(A335="","",IF(H335&lt;&gt;"",Assumptions!$D$5-H335,IF(C335="","",Assumptions!$D$5-(C335+Assumptions!$B$8))))</f>
        <v/>
      </c>
      <c r="L335" s="5" t="str">
        <f aca="false">IF(K335="","",IF(K335&lt;0,"Phase 1 (unliquidated)",IF(K335&lt;=Assumptions!$B$7,"Phase 1 (recently liquidated)",IF(K335&lt;=Assumptions!$B$6,"Protest required","Deadline passed — litigation only"))))</f>
        <v/>
      </c>
      <c r="M335" s="20" t="str">
        <f aca="false">IF(K335="","",IF(H335&lt;&gt;"",H335+Assumptions!$B$6,C335+Assumptions!$B$8+Assumptions!$B$6))</f>
        <v/>
      </c>
      <c r="N335" s="20" t="str">
        <f aca="false">IF(K335="","",IF(K335&lt;0,IF(H335&lt;&gt;"",H335+Assumptions!$B$7,C335+Assumptions!$B$8+Assumptions!$B$7),M335))</f>
        <v/>
      </c>
      <c r="O335" s="21" t="str">
        <f aca="false">IF(N335="","",N335-Assumptions!$D$5)</f>
        <v/>
      </c>
      <c r="P335" s="22"/>
      <c r="Q335" s="22"/>
      <c r="R335" s="18" t="str">
        <f aca="false">IF(Q335="","",Q335*IF(LEFT(L335,7)="Phase 1",Assumptions!$B$11,Assumptions!$B$12))</f>
        <v/>
      </c>
    </row>
    <row r="336" customFormat="false" ht="15" hidden="false" customHeight="true" outlineLevel="0" collapsed="false">
      <c r="C336" s="24"/>
      <c r="F336" s="22"/>
      <c r="G336" s="23"/>
      <c r="H336" s="24"/>
      <c r="J336" s="18" t="str">
        <f aca="false">IF(F336="","",F336*G336)</f>
        <v/>
      </c>
      <c r="K336" s="5" t="str">
        <f aca="false">IF(A336="","",IF(H336&lt;&gt;"",Assumptions!$D$5-H336,IF(C336="","",Assumptions!$D$5-(C336+Assumptions!$B$8))))</f>
        <v/>
      </c>
      <c r="L336" s="5" t="str">
        <f aca="false">IF(K336="","",IF(K336&lt;0,"Phase 1 (unliquidated)",IF(K336&lt;=Assumptions!$B$7,"Phase 1 (recently liquidated)",IF(K336&lt;=Assumptions!$B$6,"Protest required","Deadline passed — litigation only"))))</f>
        <v/>
      </c>
      <c r="M336" s="20" t="str">
        <f aca="false">IF(K336="","",IF(H336&lt;&gt;"",H336+Assumptions!$B$6,C336+Assumptions!$B$8+Assumptions!$B$6))</f>
        <v/>
      </c>
      <c r="N336" s="20" t="str">
        <f aca="false">IF(K336="","",IF(K336&lt;0,IF(H336&lt;&gt;"",H336+Assumptions!$B$7,C336+Assumptions!$B$8+Assumptions!$B$7),M336))</f>
        <v/>
      </c>
      <c r="O336" s="21" t="str">
        <f aca="false">IF(N336="","",N336-Assumptions!$D$5)</f>
        <v/>
      </c>
      <c r="P336" s="22"/>
      <c r="Q336" s="22"/>
      <c r="R336" s="18" t="str">
        <f aca="false">IF(Q336="","",Q336*IF(LEFT(L336,7)="Phase 1",Assumptions!$B$11,Assumptions!$B$12))</f>
        <v/>
      </c>
    </row>
    <row r="337" customFormat="false" ht="15" hidden="false" customHeight="true" outlineLevel="0" collapsed="false">
      <c r="C337" s="24"/>
      <c r="F337" s="22"/>
      <c r="G337" s="23"/>
      <c r="H337" s="24"/>
      <c r="J337" s="18" t="str">
        <f aca="false">IF(F337="","",F337*G337)</f>
        <v/>
      </c>
      <c r="K337" s="5" t="str">
        <f aca="false">IF(A337="","",IF(H337&lt;&gt;"",Assumptions!$D$5-H337,IF(C337="","",Assumptions!$D$5-(C337+Assumptions!$B$8))))</f>
        <v/>
      </c>
      <c r="L337" s="5" t="str">
        <f aca="false">IF(K337="","",IF(K337&lt;0,"Phase 1 (unliquidated)",IF(K337&lt;=Assumptions!$B$7,"Phase 1 (recently liquidated)",IF(K337&lt;=Assumptions!$B$6,"Protest required","Deadline passed — litigation only"))))</f>
        <v/>
      </c>
      <c r="M337" s="20" t="str">
        <f aca="false">IF(K337="","",IF(H337&lt;&gt;"",H337+Assumptions!$B$6,C337+Assumptions!$B$8+Assumptions!$B$6))</f>
        <v/>
      </c>
      <c r="N337" s="20" t="str">
        <f aca="false">IF(K337="","",IF(K337&lt;0,IF(H337&lt;&gt;"",H337+Assumptions!$B$7,C337+Assumptions!$B$8+Assumptions!$B$7),M337))</f>
        <v/>
      </c>
      <c r="O337" s="21" t="str">
        <f aca="false">IF(N337="","",N337-Assumptions!$D$5)</f>
        <v/>
      </c>
      <c r="P337" s="22"/>
      <c r="Q337" s="22"/>
      <c r="R337" s="18" t="str">
        <f aca="false">IF(Q337="","",Q337*IF(LEFT(L337,7)="Phase 1",Assumptions!$B$11,Assumptions!$B$12))</f>
        <v/>
      </c>
    </row>
    <row r="338" customFormat="false" ht="15" hidden="false" customHeight="true" outlineLevel="0" collapsed="false">
      <c r="C338" s="24"/>
      <c r="F338" s="22"/>
      <c r="G338" s="23"/>
      <c r="H338" s="24"/>
      <c r="J338" s="18" t="str">
        <f aca="false">IF(F338="","",F338*G338)</f>
        <v/>
      </c>
      <c r="K338" s="5" t="str">
        <f aca="false">IF(A338="","",IF(H338&lt;&gt;"",Assumptions!$D$5-H338,IF(C338="","",Assumptions!$D$5-(C338+Assumptions!$B$8))))</f>
        <v/>
      </c>
      <c r="L338" s="5" t="str">
        <f aca="false">IF(K338="","",IF(K338&lt;0,"Phase 1 (unliquidated)",IF(K338&lt;=Assumptions!$B$7,"Phase 1 (recently liquidated)",IF(K338&lt;=Assumptions!$B$6,"Protest required","Deadline passed — litigation only"))))</f>
        <v/>
      </c>
      <c r="M338" s="20" t="str">
        <f aca="false">IF(K338="","",IF(H338&lt;&gt;"",H338+Assumptions!$B$6,C338+Assumptions!$B$8+Assumptions!$B$6))</f>
        <v/>
      </c>
      <c r="N338" s="20" t="str">
        <f aca="false">IF(K338="","",IF(K338&lt;0,IF(H338&lt;&gt;"",H338+Assumptions!$B$7,C338+Assumptions!$B$8+Assumptions!$B$7),M338))</f>
        <v/>
      </c>
      <c r="O338" s="21" t="str">
        <f aca="false">IF(N338="","",N338-Assumptions!$D$5)</f>
        <v/>
      </c>
      <c r="P338" s="22"/>
      <c r="Q338" s="22"/>
      <c r="R338" s="18" t="str">
        <f aca="false">IF(Q338="","",Q338*IF(LEFT(L338,7)="Phase 1",Assumptions!$B$11,Assumptions!$B$12))</f>
        <v/>
      </c>
    </row>
    <row r="339" customFormat="false" ht="15" hidden="false" customHeight="true" outlineLevel="0" collapsed="false">
      <c r="C339" s="24"/>
      <c r="F339" s="22"/>
      <c r="G339" s="23"/>
      <c r="H339" s="24"/>
      <c r="J339" s="18" t="str">
        <f aca="false">IF(F339="","",F339*G339)</f>
        <v/>
      </c>
      <c r="K339" s="5" t="str">
        <f aca="false">IF(A339="","",IF(H339&lt;&gt;"",Assumptions!$D$5-H339,IF(C339="","",Assumptions!$D$5-(C339+Assumptions!$B$8))))</f>
        <v/>
      </c>
      <c r="L339" s="5" t="str">
        <f aca="false">IF(K339="","",IF(K339&lt;0,"Phase 1 (unliquidated)",IF(K339&lt;=Assumptions!$B$7,"Phase 1 (recently liquidated)",IF(K339&lt;=Assumptions!$B$6,"Protest required","Deadline passed — litigation only"))))</f>
        <v/>
      </c>
      <c r="M339" s="20" t="str">
        <f aca="false">IF(K339="","",IF(H339&lt;&gt;"",H339+Assumptions!$B$6,C339+Assumptions!$B$8+Assumptions!$B$6))</f>
        <v/>
      </c>
      <c r="N339" s="20" t="str">
        <f aca="false">IF(K339="","",IF(K339&lt;0,IF(H339&lt;&gt;"",H339+Assumptions!$B$7,C339+Assumptions!$B$8+Assumptions!$B$7),M339))</f>
        <v/>
      </c>
      <c r="O339" s="21" t="str">
        <f aca="false">IF(N339="","",N339-Assumptions!$D$5)</f>
        <v/>
      </c>
      <c r="P339" s="22"/>
      <c r="Q339" s="22"/>
      <c r="R339" s="18" t="str">
        <f aca="false">IF(Q339="","",Q339*IF(LEFT(L339,7)="Phase 1",Assumptions!$B$11,Assumptions!$B$12))</f>
        <v/>
      </c>
    </row>
    <row r="340" customFormat="false" ht="15" hidden="false" customHeight="true" outlineLevel="0" collapsed="false">
      <c r="C340" s="24"/>
      <c r="F340" s="22"/>
      <c r="G340" s="23"/>
      <c r="H340" s="24"/>
      <c r="J340" s="18" t="str">
        <f aca="false">IF(F340="","",F340*G340)</f>
        <v/>
      </c>
      <c r="K340" s="5" t="str">
        <f aca="false">IF(A340="","",IF(H340&lt;&gt;"",Assumptions!$D$5-H340,IF(C340="","",Assumptions!$D$5-(C340+Assumptions!$B$8))))</f>
        <v/>
      </c>
      <c r="L340" s="5" t="str">
        <f aca="false">IF(K340="","",IF(K340&lt;0,"Phase 1 (unliquidated)",IF(K340&lt;=Assumptions!$B$7,"Phase 1 (recently liquidated)",IF(K340&lt;=Assumptions!$B$6,"Protest required","Deadline passed — litigation only"))))</f>
        <v/>
      </c>
      <c r="M340" s="20" t="str">
        <f aca="false">IF(K340="","",IF(H340&lt;&gt;"",H340+Assumptions!$B$6,C340+Assumptions!$B$8+Assumptions!$B$6))</f>
        <v/>
      </c>
      <c r="N340" s="20" t="str">
        <f aca="false">IF(K340="","",IF(K340&lt;0,IF(H340&lt;&gt;"",H340+Assumptions!$B$7,C340+Assumptions!$B$8+Assumptions!$B$7),M340))</f>
        <v/>
      </c>
      <c r="O340" s="21" t="str">
        <f aca="false">IF(N340="","",N340-Assumptions!$D$5)</f>
        <v/>
      </c>
      <c r="P340" s="22"/>
      <c r="Q340" s="22"/>
      <c r="R340" s="18" t="str">
        <f aca="false">IF(Q340="","",Q340*IF(LEFT(L340,7)="Phase 1",Assumptions!$B$11,Assumptions!$B$12))</f>
        <v/>
      </c>
    </row>
    <row r="341" customFormat="false" ht="15" hidden="false" customHeight="true" outlineLevel="0" collapsed="false">
      <c r="C341" s="24"/>
      <c r="F341" s="22"/>
      <c r="G341" s="23"/>
      <c r="H341" s="24"/>
      <c r="J341" s="18" t="str">
        <f aca="false">IF(F341="","",F341*G341)</f>
        <v/>
      </c>
      <c r="K341" s="5" t="str">
        <f aca="false">IF(A341="","",IF(H341&lt;&gt;"",Assumptions!$D$5-H341,IF(C341="","",Assumptions!$D$5-(C341+Assumptions!$B$8))))</f>
        <v/>
      </c>
      <c r="L341" s="5" t="str">
        <f aca="false">IF(K341="","",IF(K341&lt;0,"Phase 1 (unliquidated)",IF(K341&lt;=Assumptions!$B$7,"Phase 1 (recently liquidated)",IF(K341&lt;=Assumptions!$B$6,"Protest required","Deadline passed — litigation only"))))</f>
        <v/>
      </c>
      <c r="M341" s="20" t="str">
        <f aca="false">IF(K341="","",IF(H341&lt;&gt;"",H341+Assumptions!$B$6,C341+Assumptions!$B$8+Assumptions!$B$6))</f>
        <v/>
      </c>
      <c r="N341" s="20" t="str">
        <f aca="false">IF(K341="","",IF(K341&lt;0,IF(H341&lt;&gt;"",H341+Assumptions!$B$7,C341+Assumptions!$B$8+Assumptions!$B$7),M341))</f>
        <v/>
      </c>
      <c r="O341" s="21" t="str">
        <f aca="false">IF(N341="","",N341-Assumptions!$D$5)</f>
        <v/>
      </c>
      <c r="P341" s="22"/>
      <c r="Q341" s="22"/>
      <c r="R341" s="18" t="str">
        <f aca="false">IF(Q341="","",Q341*IF(LEFT(L341,7)="Phase 1",Assumptions!$B$11,Assumptions!$B$12))</f>
        <v/>
      </c>
    </row>
    <row r="342" customFormat="false" ht="15" hidden="false" customHeight="true" outlineLevel="0" collapsed="false">
      <c r="C342" s="24"/>
      <c r="F342" s="22"/>
      <c r="G342" s="23"/>
      <c r="H342" s="24"/>
      <c r="J342" s="18" t="str">
        <f aca="false">IF(F342="","",F342*G342)</f>
        <v/>
      </c>
      <c r="K342" s="5" t="str">
        <f aca="false">IF(A342="","",IF(H342&lt;&gt;"",Assumptions!$D$5-H342,IF(C342="","",Assumptions!$D$5-(C342+Assumptions!$B$8))))</f>
        <v/>
      </c>
      <c r="L342" s="5" t="str">
        <f aca="false">IF(K342="","",IF(K342&lt;0,"Phase 1 (unliquidated)",IF(K342&lt;=Assumptions!$B$7,"Phase 1 (recently liquidated)",IF(K342&lt;=Assumptions!$B$6,"Protest required","Deadline passed — litigation only"))))</f>
        <v/>
      </c>
      <c r="M342" s="20" t="str">
        <f aca="false">IF(K342="","",IF(H342&lt;&gt;"",H342+Assumptions!$B$6,C342+Assumptions!$B$8+Assumptions!$B$6))</f>
        <v/>
      </c>
      <c r="N342" s="20" t="str">
        <f aca="false">IF(K342="","",IF(K342&lt;0,IF(H342&lt;&gt;"",H342+Assumptions!$B$7,C342+Assumptions!$B$8+Assumptions!$B$7),M342))</f>
        <v/>
      </c>
      <c r="O342" s="21" t="str">
        <f aca="false">IF(N342="","",N342-Assumptions!$D$5)</f>
        <v/>
      </c>
      <c r="P342" s="22"/>
      <c r="Q342" s="22"/>
      <c r="R342" s="18" t="str">
        <f aca="false">IF(Q342="","",Q342*IF(LEFT(L342,7)="Phase 1",Assumptions!$B$11,Assumptions!$B$12))</f>
        <v/>
      </c>
    </row>
    <row r="343" customFormat="false" ht="15" hidden="false" customHeight="true" outlineLevel="0" collapsed="false">
      <c r="C343" s="24"/>
      <c r="F343" s="22"/>
      <c r="G343" s="23"/>
      <c r="H343" s="24"/>
      <c r="J343" s="18" t="str">
        <f aca="false">IF(F343="","",F343*G343)</f>
        <v/>
      </c>
      <c r="K343" s="5" t="str">
        <f aca="false">IF(A343="","",IF(H343&lt;&gt;"",Assumptions!$D$5-H343,IF(C343="","",Assumptions!$D$5-(C343+Assumptions!$B$8))))</f>
        <v/>
      </c>
      <c r="L343" s="5" t="str">
        <f aca="false">IF(K343="","",IF(K343&lt;0,"Phase 1 (unliquidated)",IF(K343&lt;=Assumptions!$B$7,"Phase 1 (recently liquidated)",IF(K343&lt;=Assumptions!$B$6,"Protest required","Deadline passed — litigation only"))))</f>
        <v/>
      </c>
      <c r="M343" s="20" t="str">
        <f aca="false">IF(K343="","",IF(H343&lt;&gt;"",H343+Assumptions!$B$6,C343+Assumptions!$B$8+Assumptions!$B$6))</f>
        <v/>
      </c>
      <c r="N343" s="20" t="str">
        <f aca="false">IF(K343="","",IF(K343&lt;0,IF(H343&lt;&gt;"",H343+Assumptions!$B$7,C343+Assumptions!$B$8+Assumptions!$B$7),M343))</f>
        <v/>
      </c>
      <c r="O343" s="21" t="str">
        <f aca="false">IF(N343="","",N343-Assumptions!$D$5)</f>
        <v/>
      </c>
      <c r="P343" s="22"/>
      <c r="Q343" s="22"/>
      <c r="R343" s="18" t="str">
        <f aca="false">IF(Q343="","",Q343*IF(LEFT(L343,7)="Phase 1",Assumptions!$B$11,Assumptions!$B$12))</f>
        <v/>
      </c>
    </row>
    <row r="344" customFormat="false" ht="15" hidden="false" customHeight="true" outlineLevel="0" collapsed="false">
      <c r="C344" s="24"/>
      <c r="F344" s="22"/>
      <c r="G344" s="23"/>
      <c r="H344" s="24"/>
      <c r="J344" s="18" t="str">
        <f aca="false">IF(F344="","",F344*G344)</f>
        <v/>
      </c>
      <c r="K344" s="5" t="str">
        <f aca="false">IF(A344="","",IF(H344&lt;&gt;"",Assumptions!$D$5-H344,IF(C344="","",Assumptions!$D$5-(C344+Assumptions!$B$8))))</f>
        <v/>
      </c>
      <c r="L344" s="5" t="str">
        <f aca="false">IF(K344="","",IF(K344&lt;0,"Phase 1 (unliquidated)",IF(K344&lt;=Assumptions!$B$7,"Phase 1 (recently liquidated)",IF(K344&lt;=Assumptions!$B$6,"Protest required","Deadline passed — litigation only"))))</f>
        <v/>
      </c>
      <c r="M344" s="20" t="str">
        <f aca="false">IF(K344="","",IF(H344&lt;&gt;"",H344+Assumptions!$B$6,C344+Assumptions!$B$8+Assumptions!$B$6))</f>
        <v/>
      </c>
      <c r="N344" s="20" t="str">
        <f aca="false">IF(K344="","",IF(K344&lt;0,IF(H344&lt;&gt;"",H344+Assumptions!$B$7,C344+Assumptions!$B$8+Assumptions!$B$7),M344))</f>
        <v/>
      </c>
      <c r="O344" s="21" t="str">
        <f aca="false">IF(N344="","",N344-Assumptions!$D$5)</f>
        <v/>
      </c>
      <c r="P344" s="22"/>
      <c r="Q344" s="22"/>
      <c r="R344" s="18" t="str">
        <f aca="false">IF(Q344="","",Q344*IF(LEFT(L344,7)="Phase 1",Assumptions!$B$11,Assumptions!$B$12))</f>
        <v/>
      </c>
    </row>
    <row r="345" customFormat="false" ht="15" hidden="false" customHeight="true" outlineLevel="0" collapsed="false">
      <c r="C345" s="24"/>
      <c r="F345" s="22"/>
      <c r="G345" s="23"/>
      <c r="H345" s="24"/>
      <c r="J345" s="18" t="str">
        <f aca="false">IF(F345="","",F345*G345)</f>
        <v/>
      </c>
      <c r="K345" s="5" t="str">
        <f aca="false">IF(A345="","",IF(H345&lt;&gt;"",Assumptions!$D$5-H345,IF(C345="","",Assumptions!$D$5-(C345+Assumptions!$B$8))))</f>
        <v/>
      </c>
      <c r="L345" s="5" t="str">
        <f aca="false">IF(K345="","",IF(K345&lt;0,"Phase 1 (unliquidated)",IF(K345&lt;=Assumptions!$B$7,"Phase 1 (recently liquidated)",IF(K345&lt;=Assumptions!$B$6,"Protest required","Deadline passed — litigation only"))))</f>
        <v/>
      </c>
      <c r="M345" s="20" t="str">
        <f aca="false">IF(K345="","",IF(H345&lt;&gt;"",H345+Assumptions!$B$6,C345+Assumptions!$B$8+Assumptions!$B$6))</f>
        <v/>
      </c>
      <c r="N345" s="20" t="str">
        <f aca="false">IF(K345="","",IF(K345&lt;0,IF(H345&lt;&gt;"",H345+Assumptions!$B$7,C345+Assumptions!$B$8+Assumptions!$B$7),M345))</f>
        <v/>
      </c>
      <c r="O345" s="21" t="str">
        <f aca="false">IF(N345="","",N345-Assumptions!$D$5)</f>
        <v/>
      </c>
      <c r="P345" s="22"/>
      <c r="Q345" s="22"/>
      <c r="R345" s="18" t="str">
        <f aca="false">IF(Q345="","",Q345*IF(LEFT(L345,7)="Phase 1",Assumptions!$B$11,Assumptions!$B$12))</f>
        <v/>
      </c>
    </row>
    <row r="346" customFormat="false" ht="15" hidden="false" customHeight="true" outlineLevel="0" collapsed="false">
      <c r="C346" s="24"/>
      <c r="F346" s="22"/>
      <c r="G346" s="23"/>
      <c r="H346" s="24"/>
      <c r="J346" s="18" t="str">
        <f aca="false">IF(F346="","",F346*G346)</f>
        <v/>
      </c>
      <c r="K346" s="5" t="str">
        <f aca="false">IF(A346="","",IF(H346&lt;&gt;"",Assumptions!$D$5-H346,IF(C346="","",Assumptions!$D$5-(C346+Assumptions!$B$8))))</f>
        <v/>
      </c>
      <c r="L346" s="5" t="str">
        <f aca="false">IF(K346="","",IF(K346&lt;0,"Phase 1 (unliquidated)",IF(K346&lt;=Assumptions!$B$7,"Phase 1 (recently liquidated)",IF(K346&lt;=Assumptions!$B$6,"Protest required","Deadline passed — litigation only"))))</f>
        <v/>
      </c>
      <c r="M346" s="20" t="str">
        <f aca="false">IF(K346="","",IF(H346&lt;&gt;"",H346+Assumptions!$B$6,C346+Assumptions!$B$8+Assumptions!$B$6))</f>
        <v/>
      </c>
      <c r="N346" s="20" t="str">
        <f aca="false">IF(K346="","",IF(K346&lt;0,IF(H346&lt;&gt;"",H346+Assumptions!$B$7,C346+Assumptions!$B$8+Assumptions!$B$7),M346))</f>
        <v/>
      </c>
      <c r="O346" s="21" t="str">
        <f aca="false">IF(N346="","",N346-Assumptions!$D$5)</f>
        <v/>
      </c>
      <c r="P346" s="22"/>
      <c r="Q346" s="22"/>
      <c r="R346" s="18" t="str">
        <f aca="false">IF(Q346="","",Q346*IF(LEFT(L346,7)="Phase 1",Assumptions!$B$11,Assumptions!$B$12))</f>
        <v/>
      </c>
    </row>
    <row r="347" customFormat="false" ht="15" hidden="false" customHeight="true" outlineLevel="0" collapsed="false">
      <c r="C347" s="24"/>
      <c r="F347" s="22"/>
      <c r="G347" s="23"/>
      <c r="H347" s="24"/>
      <c r="J347" s="18" t="str">
        <f aca="false">IF(F347="","",F347*G347)</f>
        <v/>
      </c>
      <c r="K347" s="5" t="str">
        <f aca="false">IF(A347="","",IF(H347&lt;&gt;"",Assumptions!$D$5-H347,IF(C347="","",Assumptions!$D$5-(C347+Assumptions!$B$8))))</f>
        <v/>
      </c>
      <c r="L347" s="5" t="str">
        <f aca="false">IF(K347="","",IF(K347&lt;0,"Phase 1 (unliquidated)",IF(K347&lt;=Assumptions!$B$7,"Phase 1 (recently liquidated)",IF(K347&lt;=Assumptions!$B$6,"Protest required","Deadline passed — litigation only"))))</f>
        <v/>
      </c>
      <c r="M347" s="20" t="str">
        <f aca="false">IF(K347="","",IF(H347&lt;&gt;"",H347+Assumptions!$B$6,C347+Assumptions!$B$8+Assumptions!$B$6))</f>
        <v/>
      </c>
      <c r="N347" s="20" t="str">
        <f aca="false">IF(K347="","",IF(K347&lt;0,IF(H347&lt;&gt;"",H347+Assumptions!$B$7,C347+Assumptions!$B$8+Assumptions!$B$7),M347))</f>
        <v/>
      </c>
      <c r="O347" s="21" t="str">
        <f aca="false">IF(N347="","",N347-Assumptions!$D$5)</f>
        <v/>
      </c>
      <c r="P347" s="22"/>
      <c r="Q347" s="22"/>
      <c r="R347" s="18" t="str">
        <f aca="false">IF(Q347="","",Q347*IF(LEFT(L347,7)="Phase 1",Assumptions!$B$11,Assumptions!$B$12))</f>
        <v/>
      </c>
    </row>
    <row r="348" customFormat="false" ht="15" hidden="false" customHeight="true" outlineLevel="0" collapsed="false">
      <c r="C348" s="24"/>
      <c r="F348" s="22"/>
      <c r="G348" s="23"/>
      <c r="H348" s="24"/>
      <c r="J348" s="18" t="str">
        <f aca="false">IF(F348="","",F348*G348)</f>
        <v/>
      </c>
      <c r="K348" s="5" t="str">
        <f aca="false">IF(A348="","",IF(H348&lt;&gt;"",Assumptions!$D$5-H348,IF(C348="","",Assumptions!$D$5-(C348+Assumptions!$B$8))))</f>
        <v/>
      </c>
      <c r="L348" s="5" t="str">
        <f aca="false">IF(K348="","",IF(K348&lt;0,"Phase 1 (unliquidated)",IF(K348&lt;=Assumptions!$B$7,"Phase 1 (recently liquidated)",IF(K348&lt;=Assumptions!$B$6,"Protest required","Deadline passed — litigation only"))))</f>
        <v/>
      </c>
      <c r="M348" s="20" t="str">
        <f aca="false">IF(K348="","",IF(H348&lt;&gt;"",H348+Assumptions!$B$6,C348+Assumptions!$B$8+Assumptions!$B$6))</f>
        <v/>
      </c>
      <c r="N348" s="20" t="str">
        <f aca="false">IF(K348="","",IF(K348&lt;0,IF(H348&lt;&gt;"",H348+Assumptions!$B$7,C348+Assumptions!$B$8+Assumptions!$B$7),M348))</f>
        <v/>
      </c>
      <c r="O348" s="21" t="str">
        <f aca="false">IF(N348="","",N348-Assumptions!$D$5)</f>
        <v/>
      </c>
      <c r="P348" s="22"/>
      <c r="Q348" s="22"/>
      <c r="R348" s="18" t="str">
        <f aca="false">IF(Q348="","",Q348*IF(LEFT(L348,7)="Phase 1",Assumptions!$B$11,Assumptions!$B$12))</f>
        <v/>
      </c>
    </row>
    <row r="349" customFormat="false" ht="15" hidden="false" customHeight="true" outlineLevel="0" collapsed="false">
      <c r="C349" s="24"/>
      <c r="F349" s="22"/>
      <c r="G349" s="23"/>
      <c r="H349" s="24"/>
      <c r="J349" s="18" t="str">
        <f aca="false">IF(F349="","",F349*G349)</f>
        <v/>
      </c>
      <c r="K349" s="5" t="str">
        <f aca="false">IF(A349="","",IF(H349&lt;&gt;"",Assumptions!$D$5-H349,IF(C349="","",Assumptions!$D$5-(C349+Assumptions!$B$8))))</f>
        <v/>
      </c>
      <c r="L349" s="5" t="str">
        <f aca="false">IF(K349="","",IF(K349&lt;0,"Phase 1 (unliquidated)",IF(K349&lt;=Assumptions!$B$7,"Phase 1 (recently liquidated)",IF(K349&lt;=Assumptions!$B$6,"Protest required","Deadline passed — litigation only"))))</f>
        <v/>
      </c>
      <c r="M349" s="20" t="str">
        <f aca="false">IF(K349="","",IF(H349&lt;&gt;"",H349+Assumptions!$B$6,C349+Assumptions!$B$8+Assumptions!$B$6))</f>
        <v/>
      </c>
      <c r="N349" s="20" t="str">
        <f aca="false">IF(K349="","",IF(K349&lt;0,IF(H349&lt;&gt;"",H349+Assumptions!$B$7,C349+Assumptions!$B$8+Assumptions!$B$7),M349))</f>
        <v/>
      </c>
      <c r="O349" s="21" t="str">
        <f aca="false">IF(N349="","",N349-Assumptions!$D$5)</f>
        <v/>
      </c>
      <c r="P349" s="22"/>
      <c r="Q349" s="22"/>
      <c r="R349" s="18" t="str">
        <f aca="false">IF(Q349="","",Q349*IF(LEFT(L349,7)="Phase 1",Assumptions!$B$11,Assumptions!$B$12))</f>
        <v/>
      </c>
    </row>
    <row r="350" customFormat="false" ht="15" hidden="false" customHeight="true" outlineLevel="0" collapsed="false">
      <c r="C350" s="24"/>
      <c r="F350" s="22"/>
      <c r="G350" s="23"/>
      <c r="H350" s="24"/>
      <c r="J350" s="18" t="str">
        <f aca="false">IF(F350="","",F350*G350)</f>
        <v/>
      </c>
      <c r="K350" s="5" t="str">
        <f aca="false">IF(A350="","",IF(H350&lt;&gt;"",Assumptions!$D$5-H350,IF(C350="","",Assumptions!$D$5-(C350+Assumptions!$B$8))))</f>
        <v/>
      </c>
      <c r="L350" s="5" t="str">
        <f aca="false">IF(K350="","",IF(K350&lt;0,"Phase 1 (unliquidated)",IF(K350&lt;=Assumptions!$B$7,"Phase 1 (recently liquidated)",IF(K350&lt;=Assumptions!$B$6,"Protest required","Deadline passed — litigation only"))))</f>
        <v/>
      </c>
      <c r="M350" s="20" t="str">
        <f aca="false">IF(K350="","",IF(H350&lt;&gt;"",H350+Assumptions!$B$6,C350+Assumptions!$B$8+Assumptions!$B$6))</f>
        <v/>
      </c>
      <c r="N350" s="20" t="str">
        <f aca="false">IF(K350="","",IF(K350&lt;0,IF(H350&lt;&gt;"",H350+Assumptions!$B$7,C350+Assumptions!$B$8+Assumptions!$B$7),M350))</f>
        <v/>
      </c>
      <c r="O350" s="21" t="str">
        <f aca="false">IF(N350="","",N350-Assumptions!$D$5)</f>
        <v/>
      </c>
      <c r="P350" s="22"/>
      <c r="Q350" s="22"/>
      <c r="R350" s="18" t="str">
        <f aca="false">IF(Q350="","",Q350*IF(LEFT(L350,7)="Phase 1",Assumptions!$B$11,Assumptions!$B$12))</f>
        <v/>
      </c>
    </row>
    <row r="351" customFormat="false" ht="15" hidden="false" customHeight="true" outlineLevel="0" collapsed="false">
      <c r="C351" s="24"/>
      <c r="F351" s="22"/>
      <c r="G351" s="23"/>
      <c r="H351" s="24"/>
      <c r="J351" s="18" t="str">
        <f aca="false">IF(F351="","",F351*G351)</f>
        <v/>
      </c>
      <c r="K351" s="5" t="str">
        <f aca="false">IF(A351="","",IF(H351&lt;&gt;"",Assumptions!$D$5-H351,IF(C351="","",Assumptions!$D$5-(C351+Assumptions!$B$8))))</f>
        <v/>
      </c>
      <c r="L351" s="5" t="str">
        <f aca="false">IF(K351="","",IF(K351&lt;0,"Phase 1 (unliquidated)",IF(K351&lt;=Assumptions!$B$7,"Phase 1 (recently liquidated)",IF(K351&lt;=Assumptions!$B$6,"Protest required","Deadline passed — litigation only"))))</f>
        <v/>
      </c>
      <c r="M351" s="20" t="str">
        <f aca="false">IF(K351="","",IF(H351&lt;&gt;"",H351+Assumptions!$B$6,C351+Assumptions!$B$8+Assumptions!$B$6))</f>
        <v/>
      </c>
      <c r="N351" s="20" t="str">
        <f aca="false">IF(K351="","",IF(K351&lt;0,IF(H351&lt;&gt;"",H351+Assumptions!$B$7,C351+Assumptions!$B$8+Assumptions!$B$7),M351))</f>
        <v/>
      </c>
      <c r="O351" s="21" t="str">
        <f aca="false">IF(N351="","",N351-Assumptions!$D$5)</f>
        <v/>
      </c>
      <c r="P351" s="22"/>
      <c r="Q351" s="22"/>
      <c r="R351" s="18" t="str">
        <f aca="false">IF(Q351="","",Q351*IF(LEFT(L351,7)="Phase 1",Assumptions!$B$11,Assumptions!$B$12))</f>
        <v/>
      </c>
    </row>
    <row r="352" customFormat="false" ht="15" hidden="false" customHeight="true" outlineLevel="0" collapsed="false">
      <c r="C352" s="24"/>
      <c r="F352" s="22"/>
      <c r="G352" s="23"/>
      <c r="H352" s="24"/>
      <c r="J352" s="18" t="str">
        <f aca="false">IF(F352="","",F352*G352)</f>
        <v/>
      </c>
      <c r="K352" s="5" t="str">
        <f aca="false">IF(A352="","",IF(H352&lt;&gt;"",Assumptions!$D$5-H352,IF(C352="","",Assumptions!$D$5-(C352+Assumptions!$B$8))))</f>
        <v/>
      </c>
      <c r="L352" s="5" t="str">
        <f aca="false">IF(K352="","",IF(K352&lt;0,"Phase 1 (unliquidated)",IF(K352&lt;=Assumptions!$B$7,"Phase 1 (recently liquidated)",IF(K352&lt;=Assumptions!$B$6,"Protest required","Deadline passed — litigation only"))))</f>
        <v/>
      </c>
      <c r="M352" s="20" t="str">
        <f aca="false">IF(K352="","",IF(H352&lt;&gt;"",H352+Assumptions!$B$6,C352+Assumptions!$B$8+Assumptions!$B$6))</f>
        <v/>
      </c>
      <c r="N352" s="20" t="str">
        <f aca="false">IF(K352="","",IF(K352&lt;0,IF(H352&lt;&gt;"",H352+Assumptions!$B$7,C352+Assumptions!$B$8+Assumptions!$B$7),M352))</f>
        <v/>
      </c>
      <c r="O352" s="21" t="str">
        <f aca="false">IF(N352="","",N352-Assumptions!$D$5)</f>
        <v/>
      </c>
      <c r="P352" s="22"/>
      <c r="Q352" s="22"/>
      <c r="R352" s="18" t="str">
        <f aca="false">IF(Q352="","",Q352*IF(LEFT(L352,7)="Phase 1",Assumptions!$B$11,Assumptions!$B$12))</f>
        <v/>
      </c>
    </row>
    <row r="353" customFormat="false" ht="15" hidden="false" customHeight="true" outlineLevel="0" collapsed="false">
      <c r="C353" s="24"/>
      <c r="F353" s="22"/>
      <c r="G353" s="23"/>
      <c r="H353" s="24"/>
      <c r="J353" s="18" t="str">
        <f aca="false">IF(F353="","",F353*G353)</f>
        <v/>
      </c>
      <c r="K353" s="5" t="str">
        <f aca="false">IF(A353="","",IF(H353&lt;&gt;"",Assumptions!$D$5-H353,IF(C353="","",Assumptions!$D$5-(C353+Assumptions!$B$8))))</f>
        <v/>
      </c>
      <c r="L353" s="5" t="str">
        <f aca="false">IF(K353="","",IF(K353&lt;0,"Phase 1 (unliquidated)",IF(K353&lt;=Assumptions!$B$7,"Phase 1 (recently liquidated)",IF(K353&lt;=Assumptions!$B$6,"Protest required","Deadline passed — litigation only"))))</f>
        <v/>
      </c>
      <c r="M353" s="20" t="str">
        <f aca="false">IF(K353="","",IF(H353&lt;&gt;"",H353+Assumptions!$B$6,C353+Assumptions!$B$8+Assumptions!$B$6))</f>
        <v/>
      </c>
      <c r="N353" s="20" t="str">
        <f aca="false">IF(K353="","",IF(K353&lt;0,IF(H353&lt;&gt;"",H353+Assumptions!$B$7,C353+Assumptions!$B$8+Assumptions!$B$7),M353))</f>
        <v/>
      </c>
      <c r="O353" s="21" t="str">
        <f aca="false">IF(N353="","",N353-Assumptions!$D$5)</f>
        <v/>
      </c>
      <c r="P353" s="22"/>
      <c r="Q353" s="22"/>
      <c r="R353" s="18" t="str">
        <f aca="false">IF(Q353="","",Q353*IF(LEFT(L353,7)="Phase 1",Assumptions!$B$11,Assumptions!$B$12))</f>
        <v/>
      </c>
    </row>
    <row r="354" customFormat="false" ht="15" hidden="false" customHeight="true" outlineLevel="0" collapsed="false">
      <c r="C354" s="24"/>
      <c r="F354" s="22"/>
      <c r="G354" s="23"/>
      <c r="H354" s="24"/>
      <c r="J354" s="18" t="str">
        <f aca="false">IF(F354="","",F354*G354)</f>
        <v/>
      </c>
      <c r="K354" s="5" t="str">
        <f aca="false">IF(A354="","",IF(H354&lt;&gt;"",Assumptions!$D$5-H354,IF(C354="","",Assumptions!$D$5-(C354+Assumptions!$B$8))))</f>
        <v/>
      </c>
      <c r="L354" s="5" t="str">
        <f aca="false">IF(K354="","",IF(K354&lt;0,"Phase 1 (unliquidated)",IF(K354&lt;=Assumptions!$B$7,"Phase 1 (recently liquidated)",IF(K354&lt;=Assumptions!$B$6,"Protest required","Deadline passed — litigation only"))))</f>
        <v/>
      </c>
      <c r="M354" s="20" t="str">
        <f aca="false">IF(K354="","",IF(H354&lt;&gt;"",H354+Assumptions!$B$6,C354+Assumptions!$B$8+Assumptions!$B$6))</f>
        <v/>
      </c>
      <c r="N354" s="20" t="str">
        <f aca="false">IF(K354="","",IF(K354&lt;0,IF(H354&lt;&gt;"",H354+Assumptions!$B$7,C354+Assumptions!$B$8+Assumptions!$B$7),M354))</f>
        <v/>
      </c>
      <c r="O354" s="21" t="str">
        <f aca="false">IF(N354="","",N354-Assumptions!$D$5)</f>
        <v/>
      </c>
      <c r="P354" s="22"/>
      <c r="Q354" s="22"/>
      <c r="R354" s="18" t="str">
        <f aca="false">IF(Q354="","",Q354*IF(LEFT(L354,7)="Phase 1",Assumptions!$B$11,Assumptions!$B$12))</f>
        <v/>
      </c>
    </row>
    <row r="355" customFormat="false" ht="15" hidden="false" customHeight="true" outlineLevel="0" collapsed="false">
      <c r="C355" s="24"/>
      <c r="F355" s="22"/>
      <c r="G355" s="23"/>
      <c r="H355" s="24"/>
      <c r="J355" s="18" t="str">
        <f aca="false">IF(F355="","",F355*G355)</f>
        <v/>
      </c>
      <c r="K355" s="5" t="str">
        <f aca="false">IF(A355="","",IF(H355&lt;&gt;"",Assumptions!$D$5-H355,IF(C355="","",Assumptions!$D$5-(C355+Assumptions!$B$8))))</f>
        <v/>
      </c>
      <c r="L355" s="5" t="str">
        <f aca="false">IF(K355="","",IF(K355&lt;0,"Phase 1 (unliquidated)",IF(K355&lt;=Assumptions!$B$7,"Phase 1 (recently liquidated)",IF(K355&lt;=Assumptions!$B$6,"Protest required","Deadline passed — litigation only"))))</f>
        <v/>
      </c>
      <c r="M355" s="20" t="str">
        <f aca="false">IF(K355="","",IF(H355&lt;&gt;"",H355+Assumptions!$B$6,C355+Assumptions!$B$8+Assumptions!$B$6))</f>
        <v/>
      </c>
      <c r="N355" s="20" t="str">
        <f aca="false">IF(K355="","",IF(K355&lt;0,IF(H355&lt;&gt;"",H355+Assumptions!$B$7,C355+Assumptions!$B$8+Assumptions!$B$7),M355))</f>
        <v/>
      </c>
      <c r="O355" s="21" t="str">
        <f aca="false">IF(N355="","",N355-Assumptions!$D$5)</f>
        <v/>
      </c>
      <c r="P355" s="22"/>
      <c r="Q355" s="22"/>
      <c r="R355" s="18" t="str">
        <f aca="false">IF(Q355="","",Q355*IF(LEFT(L355,7)="Phase 1",Assumptions!$B$11,Assumptions!$B$12))</f>
        <v/>
      </c>
    </row>
    <row r="356" customFormat="false" ht="15" hidden="false" customHeight="true" outlineLevel="0" collapsed="false">
      <c r="C356" s="24"/>
      <c r="F356" s="22"/>
      <c r="G356" s="23"/>
      <c r="H356" s="24"/>
      <c r="J356" s="18" t="str">
        <f aca="false">IF(F356="","",F356*G356)</f>
        <v/>
      </c>
      <c r="K356" s="5" t="str">
        <f aca="false">IF(A356="","",IF(H356&lt;&gt;"",Assumptions!$D$5-H356,IF(C356="","",Assumptions!$D$5-(C356+Assumptions!$B$8))))</f>
        <v/>
      </c>
      <c r="L356" s="5" t="str">
        <f aca="false">IF(K356="","",IF(K356&lt;0,"Phase 1 (unliquidated)",IF(K356&lt;=Assumptions!$B$7,"Phase 1 (recently liquidated)",IF(K356&lt;=Assumptions!$B$6,"Protest required","Deadline passed — litigation only"))))</f>
        <v/>
      </c>
      <c r="M356" s="20" t="str">
        <f aca="false">IF(K356="","",IF(H356&lt;&gt;"",H356+Assumptions!$B$6,C356+Assumptions!$B$8+Assumptions!$B$6))</f>
        <v/>
      </c>
      <c r="N356" s="20" t="str">
        <f aca="false">IF(K356="","",IF(K356&lt;0,IF(H356&lt;&gt;"",H356+Assumptions!$B$7,C356+Assumptions!$B$8+Assumptions!$B$7),M356))</f>
        <v/>
      </c>
      <c r="O356" s="21" t="str">
        <f aca="false">IF(N356="","",N356-Assumptions!$D$5)</f>
        <v/>
      </c>
      <c r="P356" s="22"/>
      <c r="Q356" s="22"/>
      <c r="R356" s="18" t="str">
        <f aca="false">IF(Q356="","",Q356*IF(LEFT(L356,7)="Phase 1",Assumptions!$B$11,Assumptions!$B$12))</f>
        <v/>
      </c>
    </row>
    <row r="357" customFormat="false" ht="15" hidden="false" customHeight="true" outlineLevel="0" collapsed="false">
      <c r="C357" s="24"/>
      <c r="F357" s="22"/>
      <c r="G357" s="23"/>
      <c r="H357" s="24"/>
      <c r="J357" s="18" t="str">
        <f aca="false">IF(F357="","",F357*G357)</f>
        <v/>
      </c>
      <c r="K357" s="5" t="str">
        <f aca="false">IF(A357="","",IF(H357&lt;&gt;"",Assumptions!$D$5-H357,IF(C357="","",Assumptions!$D$5-(C357+Assumptions!$B$8))))</f>
        <v/>
      </c>
      <c r="L357" s="5" t="str">
        <f aca="false">IF(K357="","",IF(K357&lt;0,"Phase 1 (unliquidated)",IF(K357&lt;=Assumptions!$B$7,"Phase 1 (recently liquidated)",IF(K357&lt;=Assumptions!$B$6,"Protest required","Deadline passed — litigation only"))))</f>
        <v/>
      </c>
      <c r="M357" s="20" t="str">
        <f aca="false">IF(K357="","",IF(H357&lt;&gt;"",H357+Assumptions!$B$6,C357+Assumptions!$B$8+Assumptions!$B$6))</f>
        <v/>
      </c>
      <c r="N357" s="20" t="str">
        <f aca="false">IF(K357="","",IF(K357&lt;0,IF(H357&lt;&gt;"",H357+Assumptions!$B$7,C357+Assumptions!$B$8+Assumptions!$B$7),M357))</f>
        <v/>
      </c>
      <c r="O357" s="21" t="str">
        <f aca="false">IF(N357="","",N357-Assumptions!$D$5)</f>
        <v/>
      </c>
      <c r="P357" s="22"/>
      <c r="Q357" s="22"/>
      <c r="R357" s="18" t="str">
        <f aca="false">IF(Q357="","",Q357*IF(LEFT(L357,7)="Phase 1",Assumptions!$B$11,Assumptions!$B$12))</f>
        <v/>
      </c>
    </row>
    <row r="358" customFormat="false" ht="15" hidden="false" customHeight="true" outlineLevel="0" collapsed="false">
      <c r="C358" s="24"/>
      <c r="F358" s="22"/>
      <c r="G358" s="23"/>
      <c r="H358" s="24"/>
      <c r="J358" s="18" t="str">
        <f aca="false">IF(F358="","",F358*G358)</f>
        <v/>
      </c>
      <c r="K358" s="5" t="str">
        <f aca="false">IF(A358="","",IF(H358&lt;&gt;"",Assumptions!$D$5-H358,IF(C358="","",Assumptions!$D$5-(C358+Assumptions!$B$8))))</f>
        <v/>
      </c>
      <c r="L358" s="5" t="str">
        <f aca="false">IF(K358="","",IF(K358&lt;0,"Phase 1 (unliquidated)",IF(K358&lt;=Assumptions!$B$7,"Phase 1 (recently liquidated)",IF(K358&lt;=Assumptions!$B$6,"Protest required","Deadline passed — litigation only"))))</f>
        <v/>
      </c>
      <c r="M358" s="20" t="str">
        <f aca="false">IF(K358="","",IF(H358&lt;&gt;"",H358+Assumptions!$B$6,C358+Assumptions!$B$8+Assumptions!$B$6))</f>
        <v/>
      </c>
      <c r="N358" s="20" t="str">
        <f aca="false">IF(K358="","",IF(K358&lt;0,IF(H358&lt;&gt;"",H358+Assumptions!$B$7,C358+Assumptions!$B$8+Assumptions!$B$7),M358))</f>
        <v/>
      </c>
      <c r="O358" s="21" t="str">
        <f aca="false">IF(N358="","",N358-Assumptions!$D$5)</f>
        <v/>
      </c>
      <c r="P358" s="22"/>
      <c r="Q358" s="22"/>
      <c r="R358" s="18" t="str">
        <f aca="false">IF(Q358="","",Q358*IF(LEFT(L358,7)="Phase 1",Assumptions!$B$11,Assumptions!$B$12))</f>
        <v/>
      </c>
    </row>
    <row r="359" customFormat="false" ht="15" hidden="false" customHeight="true" outlineLevel="0" collapsed="false">
      <c r="C359" s="24"/>
      <c r="F359" s="22"/>
      <c r="G359" s="23"/>
      <c r="H359" s="24"/>
      <c r="J359" s="18" t="str">
        <f aca="false">IF(F359="","",F359*G359)</f>
        <v/>
      </c>
      <c r="K359" s="5" t="str">
        <f aca="false">IF(A359="","",IF(H359&lt;&gt;"",Assumptions!$D$5-H359,IF(C359="","",Assumptions!$D$5-(C359+Assumptions!$B$8))))</f>
        <v/>
      </c>
      <c r="L359" s="5" t="str">
        <f aca="false">IF(K359="","",IF(K359&lt;0,"Phase 1 (unliquidated)",IF(K359&lt;=Assumptions!$B$7,"Phase 1 (recently liquidated)",IF(K359&lt;=Assumptions!$B$6,"Protest required","Deadline passed — litigation only"))))</f>
        <v/>
      </c>
      <c r="M359" s="20" t="str">
        <f aca="false">IF(K359="","",IF(H359&lt;&gt;"",H359+Assumptions!$B$6,C359+Assumptions!$B$8+Assumptions!$B$6))</f>
        <v/>
      </c>
      <c r="N359" s="20" t="str">
        <f aca="false">IF(K359="","",IF(K359&lt;0,IF(H359&lt;&gt;"",H359+Assumptions!$B$7,C359+Assumptions!$B$8+Assumptions!$B$7),M359))</f>
        <v/>
      </c>
      <c r="O359" s="21" t="str">
        <f aca="false">IF(N359="","",N359-Assumptions!$D$5)</f>
        <v/>
      </c>
      <c r="P359" s="22"/>
      <c r="Q359" s="22"/>
      <c r="R359" s="18" t="str">
        <f aca="false">IF(Q359="","",Q359*IF(LEFT(L359,7)="Phase 1",Assumptions!$B$11,Assumptions!$B$12))</f>
        <v/>
      </c>
    </row>
    <row r="360" customFormat="false" ht="15" hidden="false" customHeight="true" outlineLevel="0" collapsed="false">
      <c r="C360" s="24"/>
      <c r="F360" s="22"/>
      <c r="G360" s="23"/>
      <c r="H360" s="24"/>
      <c r="J360" s="18" t="str">
        <f aca="false">IF(F360="","",F360*G360)</f>
        <v/>
      </c>
      <c r="K360" s="5" t="str">
        <f aca="false">IF(A360="","",IF(H360&lt;&gt;"",Assumptions!$D$5-H360,IF(C360="","",Assumptions!$D$5-(C360+Assumptions!$B$8))))</f>
        <v/>
      </c>
      <c r="L360" s="5" t="str">
        <f aca="false">IF(K360="","",IF(K360&lt;0,"Phase 1 (unliquidated)",IF(K360&lt;=Assumptions!$B$7,"Phase 1 (recently liquidated)",IF(K360&lt;=Assumptions!$B$6,"Protest required","Deadline passed — litigation only"))))</f>
        <v/>
      </c>
      <c r="M360" s="20" t="str">
        <f aca="false">IF(K360="","",IF(H360&lt;&gt;"",H360+Assumptions!$B$6,C360+Assumptions!$B$8+Assumptions!$B$6))</f>
        <v/>
      </c>
      <c r="N360" s="20" t="str">
        <f aca="false">IF(K360="","",IF(K360&lt;0,IF(H360&lt;&gt;"",H360+Assumptions!$B$7,C360+Assumptions!$B$8+Assumptions!$B$7),M360))</f>
        <v/>
      </c>
      <c r="O360" s="21" t="str">
        <f aca="false">IF(N360="","",N360-Assumptions!$D$5)</f>
        <v/>
      </c>
      <c r="P360" s="22"/>
      <c r="Q360" s="22"/>
      <c r="R360" s="18" t="str">
        <f aca="false">IF(Q360="","",Q360*IF(LEFT(L360,7)="Phase 1",Assumptions!$B$11,Assumptions!$B$12))</f>
        <v/>
      </c>
    </row>
    <row r="361" customFormat="false" ht="15" hidden="false" customHeight="true" outlineLevel="0" collapsed="false">
      <c r="C361" s="24"/>
      <c r="F361" s="22"/>
      <c r="G361" s="23"/>
      <c r="H361" s="24"/>
      <c r="J361" s="18" t="str">
        <f aca="false">IF(F361="","",F361*G361)</f>
        <v/>
      </c>
      <c r="K361" s="5" t="str">
        <f aca="false">IF(A361="","",IF(H361&lt;&gt;"",Assumptions!$D$5-H361,IF(C361="","",Assumptions!$D$5-(C361+Assumptions!$B$8))))</f>
        <v/>
      </c>
      <c r="L361" s="5" t="str">
        <f aca="false">IF(K361="","",IF(K361&lt;0,"Phase 1 (unliquidated)",IF(K361&lt;=Assumptions!$B$7,"Phase 1 (recently liquidated)",IF(K361&lt;=Assumptions!$B$6,"Protest required","Deadline passed — litigation only"))))</f>
        <v/>
      </c>
      <c r="M361" s="20" t="str">
        <f aca="false">IF(K361="","",IF(H361&lt;&gt;"",H361+Assumptions!$B$6,C361+Assumptions!$B$8+Assumptions!$B$6))</f>
        <v/>
      </c>
      <c r="N361" s="20" t="str">
        <f aca="false">IF(K361="","",IF(K361&lt;0,IF(H361&lt;&gt;"",H361+Assumptions!$B$7,C361+Assumptions!$B$8+Assumptions!$B$7),M361))</f>
        <v/>
      </c>
      <c r="O361" s="21" t="str">
        <f aca="false">IF(N361="","",N361-Assumptions!$D$5)</f>
        <v/>
      </c>
      <c r="P361" s="22"/>
      <c r="Q361" s="22"/>
      <c r="R361" s="18" t="str">
        <f aca="false">IF(Q361="","",Q361*IF(LEFT(L361,7)="Phase 1",Assumptions!$B$11,Assumptions!$B$12))</f>
        <v/>
      </c>
    </row>
    <row r="362" customFormat="false" ht="15" hidden="false" customHeight="true" outlineLevel="0" collapsed="false">
      <c r="C362" s="24"/>
      <c r="F362" s="22"/>
      <c r="G362" s="23"/>
      <c r="H362" s="24"/>
      <c r="J362" s="18" t="str">
        <f aca="false">IF(F362="","",F362*G362)</f>
        <v/>
      </c>
      <c r="K362" s="5" t="str">
        <f aca="false">IF(A362="","",IF(H362&lt;&gt;"",Assumptions!$D$5-H362,IF(C362="","",Assumptions!$D$5-(C362+Assumptions!$B$8))))</f>
        <v/>
      </c>
      <c r="L362" s="5" t="str">
        <f aca="false">IF(K362="","",IF(K362&lt;0,"Phase 1 (unliquidated)",IF(K362&lt;=Assumptions!$B$7,"Phase 1 (recently liquidated)",IF(K362&lt;=Assumptions!$B$6,"Protest required","Deadline passed — litigation only"))))</f>
        <v/>
      </c>
      <c r="M362" s="20" t="str">
        <f aca="false">IF(K362="","",IF(H362&lt;&gt;"",H362+Assumptions!$B$6,C362+Assumptions!$B$8+Assumptions!$B$6))</f>
        <v/>
      </c>
      <c r="N362" s="20" t="str">
        <f aca="false">IF(K362="","",IF(K362&lt;0,IF(H362&lt;&gt;"",H362+Assumptions!$B$7,C362+Assumptions!$B$8+Assumptions!$B$7),M362))</f>
        <v/>
      </c>
      <c r="O362" s="21" t="str">
        <f aca="false">IF(N362="","",N362-Assumptions!$D$5)</f>
        <v/>
      </c>
      <c r="P362" s="22"/>
      <c r="Q362" s="22"/>
      <c r="R362" s="18" t="str">
        <f aca="false">IF(Q362="","",Q362*IF(LEFT(L362,7)="Phase 1",Assumptions!$B$11,Assumptions!$B$12))</f>
        <v/>
      </c>
    </row>
    <row r="363" customFormat="false" ht="15" hidden="false" customHeight="true" outlineLevel="0" collapsed="false">
      <c r="C363" s="24"/>
      <c r="F363" s="22"/>
      <c r="G363" s="23"/>
      <c r="H363" s="24"/>
      <c r="J363" s="18" t="str">
        <f aca="false">IF(F363="","",F363*G363)</f>
        <v/>
      </c>
      <c r="K363" s="5" t="str">
        <f aca="false">IF(A363="","",IF(H363&lt;&gt;"",Assumptions!$D$5-H363,IF(C363="","",Assumptions!$D$5-(C363+Assumptions!$B$8))))</f>
        <v/>
      </c>
      <c r="L363" s="5" t="str">
        <f aca="false">IF(K363="","",IF(K363&lt;0,"Phase 1 (unliquidated)",IF(K363&lt;=Assumptions!$B$7,"Phase 1 (recently liquidated)",IF(K363&lt;=Assumptions!$B$6,"Protest required","Deadline passed — litigation only"))))</f>
        <v/>
      </c>
      <c r="M363" s="20" t="str">
        <f aca="false">IF(K363="","",IF(H363&lt;&gt;"",H363+Assumptions!$B$6,C363+Assumptions!$B$8+Assumptions!$B$6))</f>
        <v/>
      </c>
      <c r="N363" s="20" t="str">
        <f aca="false">IF(K363="","",IF(K363&lt;0,IF(H363&lt;&gt;"",H363+Assumptions!$B$7,C363+Assumptions!$B$8+Assumptions!$B$7),M363))</f>
        <v/>
      </c>
      <c r="O363" s="21" t="str">
        <f aca="false">IF(N363="","",N363-Assumptions!$D$5)</f>
        <v/>
      </c>
      <c r="P363" s="22"/>
      <c r="Q363" s="22"/>
      <c r="R363" s="18" t="str">
        <f aca="false">IF(Q363="","",Q363*IF(LEFT(L363,7)="Phase 1",Assumptions!$B$11,Assumptions!$B$12))</f>
        <v/>
      </c>
    </row>
    <row r="364" customFormat="false" ht="15" hidden="false" customHeight="true" outlineLevel="0" collapsed="false">
      <c r="C364" s="24"/>
      <c r="F364" s="22"/>
      <c r="G364" s="23"/>
      <c r="H364" s="24"/>
      <c r="J364" s="18" t="str">
        <f aca="false">IF(F364="","",F364*G364)</f>
        <v/>
      </c>
      <c r="K364" s="5" t="str">
        <f aca="false">IF(A364="","",IF(H364&lt;&gt;"",Assumptions!$D$5-H364,IF(C364="","",Assumptions!$D$5-(C364+Assumptions!$B$8))))</f>
        <v/>
      </c>
      <c r="L364" s="5" t="str">
        <f aca="false">IF(K364="","",IF(K364&lt;0,"Phase 1 (unliquidated)",IF(K364&lt;=Assumptions!$B$7,"Phase 1 (recently liquidated)",IF(K364&lt;=Assumptions!$B$6,"Protest required","Deadline passed — litigation only"))))</f>
        <v/>
      </c>
      <c r="M364" s="20" t="str">
        <f aca="false">IF(K364="","",IF(H364&lt;&gt;"",H364+Assumptions!$B$6,C364+Assumptions!$B$8+Assumptions!$B$6))</f>
        <v/>
      </c>
      <c r="N364" s="20" t="str">
        <f aca="false">IF(K364="","",IF(K364&lt;0,IF(H364&lt;&gt;"",H364+Assumptions!$B$7,C364+Assumptions!$B$8+Assumptions!$B$7),M364))</f>
        <v/>
      </c>
      <c r="O364" s="21" t="str">
        <f aca="false">IF(N364="","",N364-Assumptions!$D$5)</f>
        <v/>
      </c>
      <c r="P364" s="22"/>
      <c r="Q364" s="22"/>
      <c r="R364" s="18" t="str">
        <f aca="false">IF(Q364="","",Q364*IF(LEFT(L364,7)="Phase 1",Assumptions!$B$11,Assumptions!$B$12))</f>
        <v/>
      </c>
    </row>
    <row r="365" customFormat="false" ht="15" hidden="false" customHeight="true" outlineLevel="0" collapsed="false">
      <c r="C365" s="24"/>
      <c r="F365" s="22"/>
      <c r="G365" s="23"/>
      <c r="H365" s="24"/>
      <c r="J365" s="18" t="str">
        <f aca="false">IF(F365="","",F365*G365)</f>
        <v/>
      </c>
      <c r="K365" s="5" t="str">
        <f aca="false">IF(A365="","",IF(H365&lt;&gt;"",Assumptions!$D$5-H365,IF(C365="","",Assumptions!$D$5-(C365+Assumptions!$B$8))))</f>
        <v/>
      </c>
      <c r="L365" s="5" t="str">
        <f aca="false">IF(K365="","",IF(K365&lt;0,"Phase 1 (unliquidated)",IF(K365&lt;=Assumptions!$B$7,"Phase 1 (recently liquidated)",IF(K365&lt;=Assumptions!$B$6,"Protest required","Deadline passed — litigation only"))))</f>
        <v/>
      </c>
      <c r="M365" s="20" t="str">
        <f aca="false">IF(K365="","",IF(H365&lt;&gt;"",H365+Assumptions!$B$6,C365+Assumptions!$B$8+Assumptions!$B$6))</f>
        <v/>
      </c>
      <c r="N365" s="20" t="str">
        <f aca="false">IF(K365="","",IF(K365&lt;0,IF(H365&lt;&gt;"",H365+Assumptions!$B$7,C365+Assumptions!$B$8+Assumptions!$B$7),M365))</f>
        <v/>
      </c>
      <c r="O365" s="21" t="str">
        <f aca="false">IF(N365="","",N365-Assumptions!$D$5)</f>
        <v/>
      </c>
      <c r="P365" s="22"/>
      <c r="Q365" s="22"/>
      <c r="R365" s="18" t="str">
        <f aca="false">IF(Q365="","",Q365*IF(LEFT(L365,7)="Phase 1",Assumptions!$B$11,Assumptions!$B$12))</f>
        <v/>
      </c>
    </row>
    <row r="366" customFormat="false" ht="15" hidden="false" customHeight="true" outlineLevel="0" collapsed="false">
      <c r="C366" s="24"/>
      <c r="F366" s="22"/>
      <c r="G366" s="23"/>
      <c r="H366" s="24"/>
      <c r="J366" s="18" t="str">
        <f aca="false">IF(F366="","",F366*G366)</f>
        <v/>
      </c>
      <c r="K366" s="5" t="str">
        <f aca="false">IF(A366="","",IF(H366&lt;&gt;"",Assumptions!$D$5-H366,IF(C366="","",Assumptions!$D$5-(C366+Assumptions!$B$8))))</f>
        <v/>
      </c>
      <c r="L366" s="5" t="str">
        <f aca="false">IF(K366="","",IF(K366&lt;0,"Phase 1 (unliquidated)",IF(K366&lt;=Assumptions!$B$7,"Phase 1 (recently liquidated)",IF(K366&lt;=Assumptions!$B$6,"Protest required","Deadline passed — litigation only"))))</f>
        <v/>
      </c>
      <c r="M366" s="20" t="str">
        <f aca="false">IF(K366="","",IF(H366&lt;&gt;"",H366+Assumptions!$B$6,C366+Assumptions!$B$8+Assumptions!$B$6))</f>
        <v/>
      </c>
      <c r="N366" s="20" t="str">
        <f aca="false">IF(K366="","",IF(K366&lt;0,IF(H366&lt;&gt;"",H366+Assumptions!$B$7,C366+Assumptions!$B$8+Assumptions!$B$7),M366))</f>
        <v/>
      </c>
      <c r="O366" s="21" t="str">
        <f aca="false">IF(N366="","",N366-Assumptions!$D$5)</f>
        <v/>
      </c>
      <c r="P366" s="22"/>
      <c r="Q366" s="22"/>
      <c r="R366" s="18" t="str">
        <f aca="false">IF(Q366="","",Q366*IF(LEFT(L366,7)="Phase 1",Assumptions!$B$11,Assumptions!$B$12))</f>
        <v/>
      </c>
    </row>
    <row r="367" customFormat="false" ht="15" hidden="false" customHeight="true" outlineLevel="0" collapsed="false">
      <c r="C367" s="24"/>
      <c r="F367" s="22"/>
      <c r="G367" s="23"/>
      <c r="H367" s="24"/>
      <c r="J367" s="18" t="str">
        <f aca="false">IF(F367="","",F367*G367)</f>
        <v/>
      </c>
      <c r="K367" s="5" t="str">
        <f aca="false">IF(A367="","",IF(H367&lt;&gt;"",Assumptions!$D$5-H367,IF(C367="","",Assumptions!$D$5-(C367+Assumptions!$B$8))))</f>
        <v/>
      </c>
      <c r="L367" s="5" t="str">
        <f aca="false">IF(K367="","",IF(K367&lt;0,"Phase 1 (unliquidated)",IF(K367&lt;=Assumptions!$B$7,"Phase 1 (recently liquidated)",IF(K367&lt;=Assumptions!$B$6,"Protest required","Deadline passed — litigation only"))))</f>
        <v/>
      </c>
      <c r="M367" s="20" t="str">
        <f aca="false">IF(K367="","",IF(H367&lt;&gt;"",H367+Assumptions!$B$6,C367+Assumptions!$B$8+Assumptions!$B$6))</f>
        <v/>
      </c>
      <c r="N367" s="20" t="str">
        <f aca="false">IF(K367="","",IF(K367&lt;0,IF(H367&lt;&gt;"",H367+Assumptions!$B$7,C367+Assumptions!$B$8+Assumptions!$B$7),M367))</f>
        <v/>
      </c>
      <c r="O367" s="21" t="str">
        <f aca="false">IF(N367="","",N367-Assumptions!$D$5)</f>
        <v/>
      </c>
      <c r="P367" s="22"/>
      <c r="Q367" s="22"/>
      <c r="R367" s="18" t="str">
        <f aca="false">IF(Q367="","",Q367*IF(LEFT(L367,7)="Phase 1",Assumptions!$B$11,Assumptions!$B$12))</f>
        <v/>
      </c>
    </row>
    <row r="368" customFormat="false" ht="15" hidden="false" customHeight="true" outlineLevel="0" collapsed="false">
      <c r="C368" s="24"/>
      <c r="F368" s="22"/>
      <c r="G368" s="23"/>
      <c r="H368" s="24"/>
      <c r="J368" s="18" t="str">
        <f aca="false">IF(F368="","",F368*G368)</f>
        <v/>
      </c>
      <c r="K368" s="5" t="str">
        <f aca="false">IF(A368="","",IF(H368&lt;&gt;"",Assumptions!$D$5-H368,IF(C368="","",Assumptions!$D$5-(C368+Assumptions!$B$8))))</f>
        <v/>
      </c>
      <c r="L368" s="5" t="str">
        <f aca="false">IF(K368="","",IF(K368&lt;0,"Phase 1 (unliquidated)",IF(K368&lt;=Assumptions!$B$7,"Phase 1 (recently liquidated)",IF(K368&lt;=Assumptions!$B$6,"Protest required","Deadline passed — litigation only"))))</f>
        <v/>
      </c>
      <c r="M368" s="20" t="str">
        <f aca="false">IF(K368="","",IF(H368&lt;&gt;"",H368+Assumptions!$B$6,C368+Assumptions!$B$8+Assumptions!$B$6))</f>
        <v/>
      </c>
      <c r="N368" s="20" t="str">
        <f aca="false">IF(K368="","",IF(K368&lt;0,IF(H368&lt;&gt;"",H368+Assumptions!$B$7,C368+Assumptions!$B$8+Assumptions!$B$7),M368))</f>
        <v/>
      </c>
      <c r="O368" s="21" t="str">
        <f aca="false">IF(N368="","",N368-Assumptions!$D$5)</f>
        <v/>
      </c>
      <c r="P368" s="22"/>
      <c r="Q368" s="22"/>
      <c r="R368" s="18" t="str">
        <f aca="false">IF(Q368="","",Q368*IF(LEFT(L368,7)="Phase 1",Assumptions!$B$11,Assumptions!$B$12))</f>
        <v/>
      </c>
    </row>
    <row r="369" customFormat="false" ht="15" hidden="false" customHeight="true" outlineLevel="0" collapsed="false">
      <c r="C369" s="24"/>
      <c r="F369" s="22"/>
      <c r="G369" s="23"/>
      <c r="H369" s="24"/>
      <c r="J369" s="18" t="str">
        <f aca="false">IF(F369="","",F369*G369)</f>
        <v/>
      </c>
      <c r="K369" s="5" t="str">
        <f aca="false">IF(A369="","",IF(H369&lt;&gt;"",Assumptions!$D$5-H369,IF(C369="","",Assumptions!$D$5-(C369+Assumptions!$B$8))))</f>
        <v/>
      </c>
      <c r="L369" s="5" t="str">
        <f aca="false">IF(K369="","",IF(K369&lt;0,"Phase 1 (unliquidated)",IF(K369&lt;=Assumptions!$B$7,"Phase 1 (recently liquidated)",IF(K369&lt;=Assumptions!$B$6,"Protest required","Deadline passed — litigation only"))))</f>
        <v/>
      </c>
      <c r="M369" s="20" t="str">
        <f aca="false">IF(K369="","",IF(H369&lt;&gt;"",H369+Assumptions!$B$6,C369+Assumptions!$B$8+Assumptions!$B$6))</f>
        <v/>
      </c>
      <c r="N369" s="20" t="str">
        <f aca="false">IF(K369="","",IF(K369&lt;0,IF(H369&lt;&gt;"",H369+Assumptions!$B$7,C369+Assumptions!$B$8+Assumptions!$B$7),M369))</f>
        <v/>
      </c>
      <c r="O369" s="21" t="str">
        <f aca="false">IF(N369="","",N369-Assumptions!$D$5)</f>
        <v/>
      </c>
      <c r="P369" s="22"/>
      <c r="Q369" s="22"/>
      <c r="R369" s="18" t="str">
        <f aca="false">IF(Q369="","",Q369*IF(LEFT(L369,7)="Phase 1",Assumptions!$B$11,Assumptions!$B$12))</f>
        <v/>
      </c>
    </row>
    <row r="370" customFormat="false" ht="15" hidden="false" customHeight="true" outlineLevel="0" collapsed="false">
      <c r="C370" s="24"/>
      <c r="F370" s="22"/>
      <c r="G370" s="23"/>
      <c r="H370" s="24"/>
      <c r="J370" s="18" t="str">
        <f aca="false">IF(F370="","",F370*G370)</f>
        <v/>
      </c>
      <c r="K370" s="5" t="str">
        <f aca="false">IF(A370="","",IF(H370&lt;&gt;"",Assumptions!$D$5-H370,IF(C370="","",Assumptions!$D$5-(C370+Assumptions!$B$8))))</f>
        <v/>
      </c>
      <c r="L370" s="5" t="str">
        <f aca="false">IF(K370="","",IF(K370&lt;0,"Phase 1 (unliquidated)",IF(K370&lt;=Assumptions!$B$7,"Phase 1 (recently liquidated)",IF(K370&lt;=Assumptions!$B$6,"Protest required","Deadline passed — litigation only"))))</f>
        <v/>
      </c>
      <c r="M370" s="20" t="str">
        <f aca="false">IF(K370="","",IF(H370&lt;&gt;"",H370+Assumptions!$B$6,C370+Assumptions!$B$8+Assumptions!$B$6))</f>
        <v/>
      </c>
      <c r="N370" s="20" t="str">
        <f aca="false">IF(K370="","",IF(K370&lt;0,IF(H370&lt;&gt;"",H370+Assumptions!$B$7,C370+Assumptions!$B$8+Assumptions!$B$7),M370))</f>
        <v/>
      </c>
      <c r="O370" s="21" t="str">
        <f aca="false">IF(N370="","",N370-Assumptions!$D$5)</f>
        <v/>
      </c>
      <c r="P370" s="22"/>
      <c r="Q370" s="22"/>
      <c r="R370" s="18" t="str">
        <f aca="false">IF(Q370="","",Q370*IF(LEFT(L370,7)="Phase 1",Assumptions!$B$11,Assumptions!$B$12))</f>
        <v/>
      </c>
    </row>
    <row r="371" customFormat="false" ht="15" hidden="false" customHeight="true" outlineLevel="0" collapsed="false">
      <c r="C371" s="24"/>
      <c r="F371" s="22"/>
      <c r="G371" s="23"/>
      <c r="H371" s="24"/>
      <c r="J371" s="18" t="str">
        <f aca="false">IF(F371="","",F371*G371)</f>
        <v/>
      </c>
      <c r="K371" s="5" t="str">
        <f aca="false">IF(A371="","",IF(H371&lt;&gt;"",Assumptions!$D$5-H371,IF(C371="","",Assumptions!$D$5-(C371+Assumptions!$B$8))))</f>
        <v/>
      </c>
      <c r="L371" s="5" t="str">
        <f aca="false">IF(K371="","",IF(K371&lt;0,"Phase 1 (unliquidated)",IF(K371&lt;=Assumptions!$B$7,"Phase 1 (recently liquidated)",IF(K371&lt;=Assumptions!$B$6,"Protest required","Deadline passed — litigation only"))))</f>
        <v/>
      </c>
      <c r="M371" s="20" t="str">
        <f aca="false">IF(K371="","",IF(H371&lt;&gt;"",H371+Assumptions!$B$6,C371+Assumptions!$B$8+Assumptions!$B$6))</f>
        <v/>
      </c>
      <c r="N371" s="20" t="str">
        <f aca="false">IF(K371="","",IF(K371&lt;0,IF(H371&lt;&gt;"",H371+Assumptions!$B$7,C371+Assumptions!$B$8+Assumptions!$B$7),M371))</f>
        <v/>
      </c>
      <c r="O371" s="21" t="str">
        <f aca="false">IF(N371="","",N371-Assumptions!$D$5)</f>
        <v/>
      </c>
      <c r="P371" s="22"/>
      <c r="Q371" s="22"/>
      <c r="R371" s="18" t="str">
        <f aca="false">IF(Q371="","",Q371*IF(LEFT(L371,7)="Phase 1",Assumptions!$B$11,Assumptions!$B$12))</f>
        <v/>
      </c>
    </row>
    <row r="372" customFormat="false" ht="15" hidden="false" customHeight="true" outlineLevel="0" collapsed="false">
      <c r="C372" s="24"/>
      <c r="F372" s="22"/>
      <c r="G372" s="23"/>
      <c r="H372" s="24"/>
      <c r="J372" s="18" t="str">
        <f aca="false">IF(F372="","",F372*G372)</f>
        <v/>
      </c>
      <c r="K372" s="5" t="str">
        <f aca="false">IF(A372="","",IF(H372&lt;&gt;"",Assumptions!$D$5-H372,IF(C372="","",Assumptions!$D$5-(C372+Assumptions!$B$8))))</f>
        <v/>
      </c>
      <c r="L372" s="5" t="str">
        <f aca="false">IF(K372="","",IF(K372&lt;0,"Phase 1 (unliquidated)",IF(K372&lt;=Assumptions!$B$7,"Phase 1 (recently liquidated)",IF(K372&lt;=Assumptions!$B$6,"Protest required","Deadline passed — litigation only"))))</f>
        <v/>
      </c>
      <c r="M372" s="20" t="str">
        <f aca="false">IF(K372="","",IF(H372&lt;&gt;"",H372+Assumptions!$B$6,C372+Assumptions!$B$8+Assumptions!$B$6))</f>
        <v/>
      </c>
      <c r="N372" s="20" t="str">
        <f aca="false">IF(K372="","",IF(K372&lt;0,IF(H372&lt;&gt;"",H372+Assumptions!$B$7,C372+Assumptions!$B$8+Assumptions!$B$7),M372))</f>
        <v/>
      </c>
      <c r="O372" s="21" t="str">
        <f aca="false">IF(N372="","",N372-Assumptions!$D$5)</f>
        <v/>
      </c>
      <c r="P372" s="22"/>
      <c r="Q372" s="22"/>
      <c r="R372" s="18" t="str">
        <f aca="false">IF(Q372="","",Q372*IF(LEFT(L372,7)="Phase 1",Assumptions!$B$11,Assumptions!$B$12))</f>
        <v/>
      </c>
    </row>
    <row r="373" customFormat="false" ht="15" hidden="false" customHeight="true" outlineLevel="0" collapsed="false">
      <c r="C373" s="24"/>
      <c r="F373" s="22"/>
      <c r="G373" s="23"/>
      <c r="H373" s="24"/>
      <c r="J373" s="18" t="str">
        <f aca="false">IF(F373="","",F373*G373)</f>
        <v/>
      </c>
      <c r="K373" s="5" t="str">
        <f aca="false">IF(A373="","",IF(H373&lt;&gt;"",Assumptions!$D$5-H373,IF(C373="","",Assumptions!$D$5-(C373+Assumptions!$B$8))))</f>
        <v/>
      </c>
      <c r="L373" s="5" t="str">
        <f aca="false">IF(K373="","",IF(K373&lt;0,"Phase 1 (unliquidated)",IF(K373&lt;=Assumptions!$B$7,"Phase 1 (recently liquidated)",IF(K373&lt;=Assumptions!$B$6,"Protest required","Deadline passed — litigation only"))))</f>
        <v/>
      </c>
      <c r="M373" s="20" t="str">
        <f aca="false">IF(K373="","",IF(H373&lt;&gt;"",H373+Assumptions!$B$6,C373+Assumptions!$B$8+Assumptions!$B$6))</f>
        <v/>
      </c>
      <c r="N373" s="20" t="str">
        <f aca="false">IF(K373="","",IF(K373&lt;0,IF(H373&lt;&gt;"",H373+Assumptions!$B$7,C373+Assumptions!$B$8+Assumptions!$B$7),M373))</f>
        <v/>
      </c>
      <c r="O373" s="21" t="str">
        <f aca="false">IF(N373="","",N373-Assumptions!$D$5)</f>
        <v/>
      </c>
      <c r="P373" s="22"/>
      <c r="Q373" s="22"/>
      <c r="R373" s="18" t="str">
        <f aca="false">IF(Q373="","",Q373*IF(LEFT(L373,7)="Phase 1",Assumptions!$B$11,Assumptions!$B$12))</f>
        <v/>
      </c>
    </row>
    <row r="374" customFormat="false" ht="15" hidden="false" customHeight="true" outlineLevel="0" collapsed="false">
      <c r="C374" s="24"/>
      <c r="F374" s="22"/>
      <c r="G374" s="23"/>
      <c r="H374" s="24"/>
      <c r="J374" s="18" t="str">
        <f aca="false">IF(F374="","",F374*G374)</f>
        <v/>
      </c>
      <c r="K374" s="5" t="str">
        <f aca="false">IF(A374="","",IF(H374&lt;&gt;"",Assumptions!$D$5-H374,IF(C374="","",Assumptions!$D$5-(C374+Assumptions!$B$8))))</f>
        <v/>
      </c>
      <c r="L374" s="5" t="str">
        <f aca="false">IF(K374="","",IF(K374&lt;0,"Phase 1 (unliquidated)",IF(K374&lt;=Assumptions!$B$7,"Phase 1 (recently liquidated)",IF(K374&lt;=Assumptions!$B$6,"Protest required","Deadline passed — litigation only"))))</f>
        <v/>
      </c>
      <c r="M374" s="20" t="str">
        <f aca="false">IF(K374="","",IF(H374&lt;&gt;"",H374+Assumptions!$B$6,C374+Assumptions!$B$8+Assumptions!$B$6))</f>
        <v/>
      </c>
      <c r="N374" s="20" t="str">
        <f aca="false">IF(K374="","",IF(K374&lt;0,IF(H374&lt;&gt;"",H374+Assumptions!$B$7,C374+Assumptions!$B$8+Assumptions!$B$7),M374))</f>
        <v/>
      </c>
      <c r="O374" s="21" t="str">
        <f aca="false">IF(N374="","",N374-Assumptions!$D$5)</f>
        <v/>
      </c>
      <c r="P374" s="22"/>
      <c r="Q374" s="22"/>
      <c r="R374" s="18" t="str">
        <f aca="false">IF(Q374="","",Q374*IF(LEFT(L374,7)="Phase 1",Assumptions!$B$11,Assumptions!$B$12))</f>
        <v/>
      </c>
    </row>
    <row r="375" customFormat="false" ht="15" hidden="false" customHeight="true" outlineLevel="0" collapsed="false">
      <c r="C375" s="24"/>
      <c r="F375" s="22"/>
      <c r="G375" s="23"/>
      <c r="H375" s="24"/>
      <c r="J375" s="18" t="str">
        <f aca="false">IF(F375="","",F375*G375)</f>
        <v/>
      </c>
      <c r="K375" s="5" t="str">
        <f aca="false">IF(A375="","",IF(H375&lt;&gt;"",Assumptions!$D$5-H375,IF(C375="","",Assumptions!$D$5-(C375+Assumptions!$B$8))))</f>
        <v/>
      </c>
      <c r="L375" s="5" t="str">
        <f aca="false">IF(K375="","",IF(K375&lt;0,"Phase 1 (unliquidated)",IF(K375&lt;=Assumptions!$B$7,"Phase 1 (recently liquidated)",IF(K375&lt;=Assumptions!$B$6,"Protest required","Deadline passed — litigation only"))))</f>
        <v/>
      </c>
      <c r="M375" s="20" t="str">
        <f aca="false">IF(K375="","",IF(H375&lt;&gt;"",H375+Assumptions!$B$6,C375+Assumptions!$B$8+Assumptions!$B$6))</f>
        <v/>
      </c>
      <c r="N375" s="20" t="str">
        <f aca="false">IF(K375="","",IF(K375&lt;0,IF(H375&lt;&gt;"",H375+Assumptions!$B$7,C375+Assumptions!$B$8+Assumptions!$B$7),M375))</f>
        <v/>
      </c>
      <c r="O375" s="21" t="str">
        <f aca="false">IF(N375="","",N375-Assumptions!$D$5)</f>
        <v/>
      </c>
      <c r="P375" s="22"/>
      <c r="Q375" s="22"/>
      <c r="R375" s="18" t="str">
        <f aca="false">IF(Q375="","",Q375*IF(LEFT(L375,7)="Phase 1",Assumptions!$B$11,Assumptions!$B$12))</f>
        <v/>
      </c>
    </row>
    <row r="376" customFormat="false" ht="15" hidden="false" customHeight="true" outlineLevel="0" collapsed="false">
      <c r="C376" s="24"/>
      <c r="F376" s="22"/>
      <c r="G376" s="23"/>
      <c r="H376" s="24"/>
      <c r="J376" s="18" t="str">
        <f aca="false">IF(F376="","",F376*G376)</f>
        <v/>
      </c>
      <c r="K376" s="5" t="str">
        <f aca="false">IF(A376="","",IF(H376&lt;&gt;"",Assumptions!$D$5-H376,IF(C376="","",Assumptions!$D$5-(C376+Assumptions!$B$8))))</f>
        <v/>
      </c>
      <c r="L376" s="5" t="str">
        <f aca="false">IF(K376="","",IF(K376&lt;0,"Phase 1 (unliquidated)",IF(K376&lt;=Assumptions!$B$7,"Phase 1 (recently liquidated)",IF(K376&lt;=Assumptions!$B$6,"Protest required","Deadline passed — litigation only"))))</f>
        <v/>
      </c>
      <c r="M376" s="20" t="str">
        <f aca="false">IF(K376="","",IF(H376&lt;&gt;"",H376+Assumptions!$B$6,C376+Assumptions!$B$8+Assumptions!$B$6))</f>
        <v/>
      </c>
      <c r="N376" s="20" t="str">
        <f aca="false">IF(K376="","",IF(K376&lt;0,IF(H376&lt;&gt;"",H376+Assumptions!$B$7,C376+Assumptions!$B$8+Assumptions!$B$7),M376))</f>
        <v/>
      </c>
      <c r="O376" s="21" t="str">
        <f aca="false">IF(N376="","",N376-Assumptions!$D$5)</f>
        <v/>
      </c>
      <c r="P376" s="22"/>
      <c r="Q376" s="22"/>
      <c r="R376" s="18" t="str">
        <f aca="false">IF(Q376="","",Q376*IF(LEFT(L376,7)="Phase 1",Assumptions!$B$11,Assumptions!$B$12))</f>
        <v/>
      </c>
    </row>
    <row r="377" customFormat="false" ht="15" hidden="false" customHeight="true" outlineLevel="0" collapsed="false">
      <c r="C377" s="24"/>
      <c r="F377" s="22"/>
      <c r="G377" s="23"/>
      <c r="H377" s="24"/>
      <c r="J377" s="18" t="str">
        <f aca="false">IF(F377="","",F377*G377)</f>
        <v/>
      </c>
      <c r="K377" s="5" t="str">
        <f aca="false">IF(A377="","",IF(H377&lt;&gt;"",Assumptions!$D$5-H377,IF(C377="","",Assumptions!$D$5-(C377+Assumptions!$B$8))))</f>
        <v/>
      </c>
      <c r="L377" s="5" t="str">
        <f aca="false">IF(K377="","",IF(K377&lt;0,"Phase 1 (unliquidated)",IF(K377&lt;=Assumptions!$B$7,"Phase 1 (recently liquidated)",IF(K377&lt;=Assumptions!$B$6,"Protest required","Deadline passed — litigation only"))))</f>
        <v/>
      </c>
      <c r="M377" s="20" t="str">
        <f aca="false">IF(K377="","",IF(H377&lt;&gt;"",H377+Assumptions!$B$6,C377+Assumptions!$B$8+Assumptions!$B$6))</f>
        <v/>
      </c>
      <c r="N377" s="20" t="str">
        <f aca="false">IF(K377="","",IF(K377&lt;0,IF(H377&lt;&gt;"",H377+Assumptions!$B$7,C377+Assumptions!$B$8+Assumptions!$B$7),M377))</f>
        <v/>
      </c>
      <c r="O377" s="21" t="str">
        <f aca="false">IF(N377="","",N377-Assumptions!$D$5)</f>
        <v/>
      </c>
      <c r="P377" s="22"/>
      <c r="Q377" s="22"/>
      <c r="R377" s="18" t="str">
        <f aca="false">IF(Q377="","",Q377*IF(LEFT(L377,7)="Phase 1",Assumptions!$B$11,Assumptions!$B$12))</f>
        <v/>
      </c>
    </row>
    <row r="378" customFormat="false" ht="15" hidden="false" customHeight="true" outlineLevel="0" collapsed="false">
      <c r="C378" s="24"/>
      <c r="F378" s="22"/>
      <c r="G378" s="23"/>
      <c r="H378" s="24"/>
      <c r="J378" s="18" t="str">
        <f aca="false">IF(F378="","",F378*G378)</f>
        <v/>
      </c>
      <c r="K378" s="5" t="str">
        <f aca="false">IF(A378="","",IF(H378&lt;&gt;"",Assumptions!$D$5-H378,IF(C378="","",Assumptions!$D$5-(C378+Assumptions!$B$8))))</f>
        <v/>
      </c>
      <c r="L378" s="5" t="str">
        <f aca="false">IF(K378="","",IF(K378&lt;0,"Phase 1 (unliquidated)",IF(K378&lt;=Assumptions!$B$7,"Phase 1 (recently liquidated)",IF(K378&lt;=Assumptions!$B$6,"Protest required","Deadline passed — litigation only"))))</f>
        <v/>
      </c>
      <c r="M378" s="20" t="str">
        <f aca="false">IF(K378="","",IF(H378&lt;&gt;"",H378+Assumptions!$B$6,C378+Assumptions!$B$8+Assumptions!$B$6))</f>
        <v/>
      </c>
      <c r="N378" s="20" t="str">
        <f aca="false">IF(K378="","",IF(K378&lt;0,IF(H378&lt;&gt;"",H378+Assumptions!$B$7,C378+Assumptions!$B$8+Assumptions!$B$7),M378))</f>
        <v/>
      </c>
      <c r="O378" s="21" t="str">
        <f aca="false">IF(N378="","",N378-Assumptions!$D$5)</f>
        <v/>
      </c>
      <c r="P378" s="22"/>
      <c r="Q378" s="22"/>
      <c r="R378" s="18" t="str">
        <f aca="false">IF(Q378="","",Q378*IF(LEFT(L378,7)="Phase 1",Assumptions!$B$11,Assumptions!$B$12))</f>
        <v/>
      </c>
    </row>
    <row r="379" customFormat="false" ht="15" hidden="false" customHeight="true" outlineLevel="0" collapsed="false">
      <c r="C379" s="24"/>
      <c r="F379" s="22"/>
      <c r="G379" s="23"/>
      <c r="H379" s="24"/>
      <c r="J379" s="18" t="str">
        <f aca="false">IF(F379="","",F379*G379)</f>
        <v/>
      </c>
      <c r="K379" s="5" t="str">
        <f aca="false">IF(A379="","",IF(H379&lt;&gt;"",Assumptions!$D$5-H379,IF(C379="","",Assumptions!$D$5-(C379+Assumptions!$B$8))))</f>
        <v/>
      </c>
      <c r="L379" s="5" t="str">
        <f aca="false">IF(K379="","",IF(K379&lt;0,"Phase 1 (unliquidated)",IF(K379&lt;=Assumptions!$B$7,"Phase 1 (recently liquidated)",IF(K379&lt;=Assumptions!$B$6,"Protest required","Deadline passed — litigation only"))))</f>
        <v/>
      </c>
      <c r="M379" s="20" t="str">
        <f aca="false">IF(K379="","",IF(H379&lt;&gt;"",H379+Assumptions!$B$6,C379+Assumptions!$B$8+Assumptions!$B$6))</f>
        <v/>
      </c>
      <c r="N379" s="20" t="str">
        <f aca="false">IF(K379="","",IF(K379&lt;0,IF(H379&lt;&gt;"",H379+Assumptions!$B$7,C379+Assumptions!$B$8+Assumptions!$B$7),M379))</f>
        <v/>
      </c>
      <c r="O379" s="21" t="str">
        <f aca="false">IF(N379="","",N379-Assumptions!$D$5)</f>
        <v/>
      </c>
      <c r="P379" s="22"/>
      <c r="Q379" s="22"/>
      <c r="R379" s="18" t="str">
        <f aca="false">IF(Q379="","",Q379*IF(LEFT(L379,7)="Phase 1",Assumptions!$B$11,Assumptions!$B$12))</f>
        <v/>
      </c>
    </row>
    <row r="380" customFormat="false" ht="15" hidden="false" customHeight="true" outlineLevel="0" collapsed="false">
      <c r="C380" s="24"/>
      <c r="F380" s="22"/>
      <c r="G380" s="23"/>
      <c r="H380" s="24"/>
      <c r="J380" s="18" t="str">
        <f aca="false">IF(F380="","",F380*G380)</f>
        <v/>
      </c>
      <c r="K380" s="5" t="str">
        <f aca="false">IF(A380="","",IF(H380&lt;&gt;"",Assumptions!$D$5-H380,IF(C380="","",Assumptions!$D$5-(C380+Assumptions!$B$8))))</f>
        <v/>
      </c>
      <c r="L380" s="5" t="str">
        <f aca="false">IF(K380="","",IF(K380&lt;0,"Phase 1 (unliquidated)",IF(K380&lt;=Assumptions!$B$7,"Phase 1 (recently liquidated)",IF(K380&lt;=Assumptions!$B$6,"Protest required","Deadline passed — litigation only"))))</f>
        <v/>
      </c>
      <c r="M380" s="20" t="str">
        <f aca="false">IF(K380="","",IF(H380&lt;&gt;"",H380+Assumptions!$B$6,C380+Assumptions!$B$8+Assumptions!$B$6))</f>
        <v/>
      </c>
      <c r="N380" s="20" t="str">
        <f aca="false">IF(K380="","",IF(K380&lt;0,IF(H380&lt;&gt;"",H380+Assumptions!$B$7,C380+Assumptions!$B$8+Assumptions!$B$7),M380))</f>
        <v/>
      </c>
      <c r="O380" s="21" t="str">
        <f aca="false">IF(N380="","",N380-Assumptions!$D$5)</f>
        <v/>
      </c>
      <c r="P380" s="22"/>
      <c r="Q380" s="22"/>
      <c r="R380" s="18" t="str">
        <f aca="false">IF(Q380="","",Q380*IF(LEFT(L380,7)="Phase 1",Assumptions!$B$11,Assumptions!$B$12))</f>
        <v/>
      </c>
    </row>
    <row r="381" customFormat="false" ht="15" hidden="false" customHeight="true" outlineLevel="0" collapsed="false">
      <c r="C381" s="24"/>
      <c r="F381" s="22"/>
      <c r="G381" s="23"/>
      <c r="H381" s="24"/>
      <c r="J381" s="18" t="str">
        <f aca="false">IF(F381="","",F381*G381)</f>
        <v/>
      </c>
      <c r="K381" s="5" t="str">
        <f aca="false">IF(A381="","",IF(H381&lt;&gt;"",Assumptions!$D$5-H381,IF(C381="","",Assumptions!$D$5-(C381+Assumptions!$B$8))))</f>
        <v/>
      </c>
      <c r="L381" s="5" t="str">
        <f aca="false">IF(K381="","",IF(K381&lt;0,"Phase 1 (unliquidated)",IF(K381&lt;=Assumptions!$B$7,"Phase 1 (recently liquidated)",IF(K381&lt;=Assumptions!$B$6,"Protest required","Deadline passed — litigation only"))))</f>
        <v/>
      </c>
      <c r="M381" s="20" t="str">
        <f aca="false">IF(K381="","",IF(H381&lt;&gt;"",H381+Assumptions!$B$6,C381+Assumptions!$B$8+Assumptions!$B$6))</f>
        <v/>
      </c>
      <c r="N381" s="20" t="str">
        <f aca="false">IF(K381="","",IF(K381&lt;0,IF(H381&lt;&gt;"",H381+Assumptions!$B$7,C381+Assumptions!$B$8+Assumptions!$B$7),M381))</f>
        <v/>
      </c>
      <c r="O381" s="21" t="str">
        <f aca="false">IF(N381="","",N381-Assumptions!$D$5)</f>
        <v/>
      </c>
      <c r="P381" s="22"/>
      <c r="Q381" s="22"/>
      <c r="R381" s="18" t="str">
        <f aca="false">IF(Q381="","",Q381*IF(LEFT(L381,7)="Phase 1",Assumptions!$B$11,Assumptions!$B$12))</f>
        <v/>
      </c>
    </row>
    <row r="382" customFormat="false" ht="15" hidden="false" customHeight="true" outlineLevel="0" collapsed="false">
      <c r="C382" s="24"/>
      <c r="F382" s="22"/>
      <c r="G382" s="23"/>
      <c r="H382" s="24"/>
      <c r="J382" s="18" t="str">
        <f aca="false">IF(F382="","",F382*G382)</f>
        <v/>
      </c>
      <c r="K382" s="5" t="str">
        <f aca="false">IF(A382="","",IF(H382&lt;&gt;"",Assumptions!$D$5-H382,IF(C382="","",Assumptions!$D$5-(C382+Assumptions!$B$8))))</f>
        <v/>
      </c>
      <c r="L382" s="5" t="str">
        <f aca="false">IF(K382="","",IF(K382&lt;0,"Phase 1 (unliquidated)",IF(K382&lt;=Assumptions!$B$7,"Phase 1 (recently liquidated)",IF(K382&lt;=Assumptions!$B$6,"Protest required","Deadline passed — litigation only"))))</f>
        <v/>
      </c>
      <c r="M382" s="20" t="str">
        <f aca="false">IF(K382="","",IF(H382&lt;&gt;"",H382+Assumptions!$B$6,C382+Assumptions!$B$8+Assumptions!$B$6))</f>
        <v/>
      </c>
      <c r="N382" s="20" t="str">
        <f aca="false">IF(K382="","",IF(K382&lt;0,IF(H382&lt;&gt;"",H382+Assumptions!$B$7,C382+Assumptions!$B$8+Assumptions!$B$7),M382))</f>
        <v/>
      </c>
      <c r="O382" s="21" t="str">
        <f aca="false">IF(N382="","",N382-Assumptions!$D$5)</f>
        <v/>
      </c>
      <c r="P382" s="22"/>
      <c r="Q382" s="22"/>
      <c r="R382" s="18" t="str">
        <f aca="false">IF(Q382="","",Q382*IF(LEFT(L382,7)="Phase 1",Assumptions!$B$11,Assumptions!$B$12))</f>
        <v/>
      </c>
    </row>
    <row r="383" customFormat="false" ht="15" hidden="false" customHeight="true" outlineLevel="0" collapsed="false">
      <c r="C383" s="24"/>
      <c r="F383" s="22"/>
      <c r="G383" s="23"/>
      <c r="H383" s="24"/>
      <c r="J383" s="18" t="str">
        <f aca="false">IF(F383="","",F383*G383)</f>
        <v/>
      </c>
      <c r="K383" s="5" t="str">
        <f aca="false">IF(A383="","",IF(H383&lt;&gt;"",Assumptions!$D$5-H383,IF(C383="","",Assumptions!$D$5-(C383+Assumptions!$B$8))))</f>
        <v/>
      </c>
      <c r="L383" s="5" t="str">
        <f aca="false">IF(K383="","",IF(K383&lt;0,"Phase 1 (unliquidated)",IF(K383&lt;=Assumptions!$B$7,"Phase 1 (recently liquidated)",IF(K383&lt;=Assumptions!$B$6,"Protest required","Deadline passed — litigation only"))))</f>
        <v/>
      </c>
      <c r="M383" s="20" t="str">
        <f aca="false">IF(K383="","",IF(H383&lt;&gt;"",H383+Assumptions!$B$6,C383+Assumptions!$B$8+Assumptions!$B$6))</f>
        <v/>
      </c>
      <c r="N383" s="20" t="str">
        <f aca="false">IF(K383="","",IF(K383&lt;0,IF(H383&lt;&gt;"",H383+Assumptions!$B$7,C383+Assumptions!$B$8+Assumptions!$B$7),M383))</f>
        <v/>
      </c>
      <c r="O383" s="21" t="str">
        <f aca="false">IF(N383="","",N383-Assumptions!$D$5)</f>
        <v/>
      </c>
      <c r="P383" s="22"/>
      <c r="Q383" s="22"/>
      <c r="R383" s="18" t="str">
        <f aca="false">IF(Q383="","",Q383*IF(LEFT(L383,7)="Phase 1",Assumptions!$B$11,Assumptions!$B$12))</f>
        <v/>
      </c>
    </row>
    <row r="384" customFormat="false" ht="15" hidden="false" customHeight="true" outlineLevel="0" collapsed="false">
      <c r="C384" s="24"/>
      <c r="F384" s="22"/>
      <c r="G384" s="23"/>
      <c r="H384" s="24"/>
      <c r="J384" s="18" t="str">
        <f aca="false">IF(F384="","",F384*G384)</f>
        <v/>
      </c>
      <c r="K384" s="5" t="str">
        <f aca="false">IF(A384="","",IF(H384&lt;&gt;"",Assumptions!$D$5-H384,IF(C384="","",Assumptions!$D$5-(C384+Assumptions!$B$8))))</f>
        <v/>
      </c>
      <c r="L384" s="5" t="str">
        <f aca="false">IF(K384="","",IF(K384&lt;0,"Phase 1 (unliquidated)",IF(K384&lt;=Assumptions!$B$7,"Phase 1 (recently liquidated)",IF(K384&lt;=Assumptions!$B$6,"Protest required","Deadline passed — litigation only"))))</f>
        <v/>
      </c>
      <c r="M384" s="20" t="str">
        <f aca="false">IF(K384="","",IF(H384&lt;&gt;"",H384+Assumptions!$B$6,C384+Assumptions!$B$8+Assumptions!$B$6))</f>
        <v/>
      </c>
      <c r="N384" s="20" t="str">
        <f aca="false">IF(K384="","",IF(K384&lt;0,IF(H384&lt;&gt;"",H384+Assumptions!$B$7,C384+Assumptions!$B$8+Assumptions!$B$7),M384))</f>
        <v/>
      </c>
      <c r="O384" s="21" t="str">
        <f aca="false">IF(N384="","",N384-Assumptions!$D$5)</f>
        <v/>
      </c>
      <c r="P384" s="22"/>
      <c r="Q384" s="22"/>
      <c r="R384" s="18" t="str">
        <f aca="false">IF(Q384="","",Q384*IF(LEFT(L384,7)="Phase 1",Assumptions!$B$11,Assumptions!$B$12))</f>
        <v/>
      </c>
    </row>
    <row r="385" customFormat="false" ht="15" hidden="false" customHeight="true" outlineLevel="0" collapsed="false">
      <c r="C385" s="24"/>
      <c r="F385" s="22"/>
      <c r="G385" s="23"/>
      <c r="H385" s="24"/>
      <c r="J385" s="18" t="str">
        <f aca="false">IF(F385="","",F385*G385)</f>
        <v/>
      </c>
      <c r="K385" s="5" t="str">
        <f aca="false">IF(A385="","",IF(H385&lt;&gt;"",Assumptions!$D$5-H385,IF(C385="","",Assumptions!$D$5-(C385+Assumptions!$B$8))))</f>
        <v/>
      </c>
      <c r="L385" s="5" t="str">
        <f aca="false">IF(K385="","",IF(K385&lt;0,"Phase 1 (unliquidated)",IF(K385&lt;=Assumptions!$B$7,"Phase 1 (recently liquidated)",IF(K385&lt;=Assumptions!$B$6,"Protest required","Deadline passed — litigation only"))))</f>
        <v/>
      </c>
      <c r="M385" s="20" t="str">
        <f aca="false">IF(K385="","",IF(H385&lt;&gt;"",H385+Assumptions!$B$6,C385+Assumptions!$B$8+Assumptions!$B$6))</f>
        <v/>
      </c>
      <c r="N385" s="20" t="str">
        <f aca="false">IF(K385="","",IF(K385&lt;0,IF(H385&lt;&gt;"",H385+Assumptions!$B$7,C385+Assumptions!$B$8+Assumptions!$B$7),M385))</f>
        <v/>
      </c>
      <c r="O385" s="21" t="str">
        <f aca="false">IF(N385="","",N385-Assumptions!$D$5)</f>
        <v/>
      </c>
      <c r="P385" s="22"/>
      <c r="Q385" s="22"/>
      <c r="R385" s="18" t="str">
        <f aca="false">IF(Q385="","",Q385*IF(LEFT(L385,7)="Phase 1",Assumptions!$B$11,Assumptions!$B$12))</f>
        <v/>
      </c>
    </row>
    <row r="386" customFormat="false" ht="15" hidden="false" customHeight="true" outlineLevel="0" collapsed="false">
      <c r="C386" s="24"/>
      <c r="F386" s="22"/>
      <c r="G386" s="23"/>
      <c r="H386" s="24"/>
      <c r="J386" s="18" t="str">
        <f aca="false">IF(F386="","",F386*G386)</f>
        <v/>
      </c>
      <c r="K386" s="5" t="str">
        <f aca="false">IF(A386="","",IF(H386&lt;&gt;"",Assumptions!$D$5-H386,IF(C386="","",Assumptions!$D$5-(C386+Assumptions!$B$8))))</f>
        <v/>
      </c>
      <c r="L386" s="5" t="str">
        <f aca="false">IF(K386="","",IF(K386&lt;0,"Phase 1 (unliquidated)",IF(K386&lt;=Assumptions!$B$7,"Phase 1 (recently liquidated)",IF(K386&lt;=Assumptions!$B$6,"Protest required","Deadline passed — litigation only"))))</f>
        <v/>
      </c>
      <c r="M386" s="20" t="str">
        <f aca="false">IF(K386="","",IF(H386&lt;&gt;"",H386+Assumptions!$B$6,C386+Assumptions!$B$8+Assumptions!$B$6))</f>
        <v/>
      </c>
      <c r="N386" s="20" t="str">
        <f aca="false">IF(K386="","",IF(K386&lt;0,IF(H386&lt;&gt;"",H386+Assumptions!$B$7,C386+Assumptions!$B$8+Assumptions!$B$7),M386))</f>
        <v/>
      </c>
      <c r="O386" s="21" t="str">
        <f aca="false">IF(N386="","",N386-Assumptions!$D$5)</f>
        <v/>
      </c>
      <c r="P386" s="22"/>
      <c r="Q386" s="22"/>
      <c r="R386" s="18" t="str">
        <f aca="false">IF(Q386="","",Q386*IF(LEFT(L386,7)="Phase 1",Assumptions!$B$11,Assumptions!$B$12))</f>
        <v/>
      </c>
    </row>
    <row r="387" customFormat="false" ht="15" hidden="false" customHeight="true" outlineLevel="0" collapsed="false">
      <c r="C387" s="24"/>
      <c r="F387" s="22"/>
      <c r="G387" s="23"/>
      <c r="H387" s="24"/>
      <c r="J387" s="18" t="str">
        <f aca="false">IF(F387="","",F387*G387)</f>
        <v/>
      </c>
      <c r="K387" s="5" t="str">
        <f aca="false">IF(A387="","",IF(H387&lt;&gt;"",Assumptions!$D$5-H387,IF(C387="","",Assumptions!$D$5-(C387+Assumptions!$B$8))))</f>
        <v/>
      </c>
      <c r="L387" s="5" t="str">
        <f aca="false">IF(K387="","",IF(K387&lt;0,"Phase 1 (unliquidated)",IF(K387&lt;=Assumptions!$B$7,"Phase 1 (recently liquidated)",IF(K387&lt;=Assumptions!$B$6,"Protest required","Deadline passed — litigation only"))))</f>
        <v/>
      </c>
      <c r="M387" s="20" t="str">
        <f aca="false">IF(K387="","",IF(H387&lt;&gt;"",H387+Assumptions!$B$6,C387+Assumptions!$B$8+Assumptions!$B$6))</f>
        <v/>
      </c>
      <c r="N387" s="20" t="str">
        <f aca="false">IF(K387="","",IF(K387&lt;0,IF(H387&lt;&gt;"",H387+Assumptions!$B$7,C387+Assumptions!$B$8+Assumptions!$B$7),M387))</f>
        <v/>
      </c>
      <c r="O387" s="21" t="str">
        <f aca="false">IF(N387="","",N387-Assumptions!$D$5)</f>
        <v/>
      </c>
      <c r="P387" s="22"/>
      <c r="Q387" s="22"/>
      <c r="R387" s="18" t="str">
        <f aca="false">IF(Q387="","",Q387*IF(LEFT(L387,7)="Phase 1",Assumptions!$B$11,Assumptions!$B$12))</f>
        <v/>
      </c>
    </row>
    <row r="388" customFormat="false" ht="15" hidden="false" customHeight="true" outlineLevel="0" collapsed="false">
      <c r="C388" s="24"/>
      <c r="F388" s="22"/>
      <c r="G388" s="23"/>
      <c r="H388" s="24"/>
      <c r="J388" s="18" t="str">
        <f aca="false">IF(F388="","",F388*G388)</f>
        <v/>
      </c>
      <c r="K388" s="5" t="str">
        <f aca="false">IF(A388="","",IF(H388&lt;&gt;"",Assumptions!$D$5-H388,IF(C388="","",Assumptions!$D$5-(C388+Assumptions!$B$8))))</f>
        <v/>
      </c>
      <c r="L388" s="5" t="str">
        <f aca="false">IF(K388="","",IF(K388&lt;0,"Phase 1 (unliquidated)",IF(K388&lt;=Assumptions!$B$7,"Phase 1 (recently liquidated)",IF(K388&lt;=Assumptions!$B$6,"Protest required","Deadline passed — litigation only"))))</f>
        <v/>
      </c>
      <c r="M388" s="20" t="str">
        <f aca="false">IF(K388="","",IF(H388&lt;&gt;"",H388+Assumptions!$B$6,C388+Assumptions!$B$8+Assumptions!$B$6))</f>
        <v/>
      </c>
      <c r="N388" s="20" t="str">
        <f aca="false">IF(K388="","",IF(K388&lt;0,IF(H388&lt;&gt;"",H388+Assumptions!$B$7,C388+Assumptions!$B$8+Assumptions!$B$7),M388))</f>
        <v/>
      </c>
      <c r="O388" s="21" t="str">
        <f aca="false">IF(N388="","",N388-Assumptions!$D$5)</f>
        <v/>
      </c>
      <c r="P388" s="22"/>
      <c r="Q388" s="22"/>
      <c r="R388" s="18" t="str">
        <f aca="false">IF(Q388="","",Q388*IF(LEFT(L388,7)="Phase 1",Assumptions!$B$11,Assumptions!$B$12))</f>
        <v/>
      </c>
    </row>
    <row r="389" customFormat="false" ht="15" hidden="false" customHeight="true" outlineLevel="0" collapsed="false">
      <c r="C389" s="24"/>
      <c r="F389" s="22"/>
      <c r="G389" s="23"/>
      <c r="H389" s="24"/>
      <c r="J389" s="18" t="str">
        <f aca="false">IF(F389="","",F389*G389)</f>
        <v/>
      </c>
      <c r="K389" s="5" t="str">
        <f aca="false">IF(A389="","",IF(H389&lt;&gt;"",Assumptions!$D$5-H389,IF(C389="","",Assumptions!$D$5-(C389+Assumptions!$B$8))))</f>
        <v/>
      </c>
      <c r="L389" s="5" t="str">
        <f aca="false">IF(K389="","",IF(K389&lt;0,"Phase 1 (unliquidated)",IF(K389&lt;=Assumptions!$B$7,"Phase 1 (recently liquidated)",IF(K389&lt;=Assumptions!$B$6,"Protest required","Deadline passed — litigation only"))))</f>
        <v/>
      </c>
      <c r="M389" s="20" t="str">
        <f aca="false">IF(K389="","",IF(H389&lt;&gt;"",H389+Assumptions!$B$6,C389+Assumptions!$B$8+Assumptions!$B$6))</f>
        <v/>
      </c>
      <c r="N389" s="20" t="str">
        <f aca="false">IF(K389="","",IF(K389&lt;0,IF(H389&lt;&gt;"",H389+Assumptions!$B$7,C389+Assumptions!$B$8+Assumptions!$B$7),M389))</f>
        <v/>
      </c>
      <c r="O389" s="21" t="str">
        <f aca="false">IF(N389="","",N389-Assumptions!$D$5)</f>
        <v/>
      </c>
      <c r="P389" s="22"/>
      <c r="Q389" s="22"/>
      <c r="R389" s="18" t="str">
        <f aca="false">IF(Q389="","",Q389*IF(LEFT(L389,7)="Phase 1",Assumptions!$B$11,Assumptions!$B$12))</f>
        <v/>
      </c>
    </row>
    <row r="390" customFormat="false" ht="15" hidden="false" customHeight="true" outlineLevel="0" collapsed="false">
      <c r="C390" s="24"/>
      <c r="F390" s="22"/>
      <c r="G390" s="23"/>
      <c r="H390" s="24"/>
      <c r="J390" s="18" t="str">
        <f aca="false">IF(F390="","",F390*G390)</f>
        <v/>
      </c>
      <c r="K390" s="5" t="str">
        <f aca="false">IF(A390="","",IF(H390&lt;&gt;"",Assumptions!$D$5-H390,IF(C390="","",Assumptions!$D$5-(C390+Assumptions!$B$8))))</f>
        <v/>
      </c>
      <c r="L390" s="5" t="str">
        <f aca="false">IF(K390="","",IF(K390&lt;0,"Phase 1 (unliquidated)",IF(K390&lt;=Assumptions!$B$7,"Phase 1 (recently liquidated)",IF(K390&lt;=Assumptions!$B$6,"Protest required","Deadline passed — litigation only"))))</f>
        <v/>
      </c>
      <c r="M390" s="20" t="str">
        <f aca="false">IF(K390="","",IF(H390&lt;&gt;"",H390+Assumptions!$B$6,C390+Assumptions!$B$8+Assumptions!$B$6))</f>
        <v/>
      </c>
      <c r="N390" s="20" t="str">
        <f aca="false">IF(K390="","",IF(K390&lt;0,IF(H390&lt;&gt;"",H390+Assumptions!$B$7,C390+Assumptions!$B$8+Assumptions!$B$7),M390))</f>
        <v/>
      </c>
      <c r="O390" s="21" t="str">
        <f aca="false">IF(N390="","",N390-Assumptions!$D$5)</f>
        <v/>
      </c>
      <c r="P390" s="22"/>
      <c r="Q390" s="22"/>
      <c r="R390" s="18" t="str">
        <f aca="false">IF(Q390="","",Q390*IF(LEFT(L390,7)="Phase 1",Assumptions!$B$11,Assumptions!$B$12))</f>
        <v/>
      </c>
    </row>
    <row r="391" customFormat="false" ht="15" hidden="false" customHeight="true" outlineLevel="0" collapsed="false">
      <c r="C391" s="24"/>
      <c r="F391" s="22"/>
      <c r="G391" s="23"/>
      <c r="H391" s="24"/>
      <c r="J391" s="18" t="str">
        <f aca="false">IF(F391="","",F391*G391)</f>
        <v/>
      </c>
      <c r="K391" s="5" t="str">
        <f aca="false">IF(A391="","",IF(H391&lt;&gt;"",Assumptions!$D$5-H391,IF(C391="","",Assumptions!$D$5-(C391+Assumptions!$B$8))))</f>
        <v/>
      </c>
      <c r="L391" s="5" t="str">
        <f aca="false">IF(K391="","",IF(K391&lt;0,"Phase 1 (unliquidated)",IF(K391&lt;=Assumptions!$B$7,"Phase 1 (recently liquidated)",IF(K391&lt;=Assumptions!$B$6,"Protest required","Deadline passed — litigation only"))))</f>
        <v/>
      </c>
      <c r="M391" s="20" t="str">
        <f aca="false">IF(K391="","",IF(H391&lt;&gt;"",H391+Assumptions!$B$6,C391+Assumptions!$B$8+Assumptions!$B$6))</f>
        <v/>
      </c>
      <c r="N391" s="20" t="str">
        <f aca="false">IF(K391="","",IF(K391&lt;0,IF(H391&lt;&gt;"",H391+Assumptions!$B$7,C391+Assumptions!$B$8+Assumptions!$B$7),M391))</f>
        <v/>
      </c>
      <c r="O391" s="21" t="str">
        <f aca="false">IF(N391="","",N391-Assumptions!$D$5)</f>
        <v/>
      </c>
      <c r="P391" s="22"/>
      <c r="Q391" s="22"/>
      <c r="R391" s="18" t="str">
        <f aca="false">IF(Q391="","",Q391*IF(LEFT(L391,7)="Phase 1",Assumptions!$B$11,Assumptions!$B$12))</f>
        <v/>
      </c>
    </row>
    <row r="392" customFormat="false" ht="15" hidden="false" customHeight="true" outlineLevel="0" collapsed="false">
      <c r="C392" s="24"/>
      <c r="F392" s="22"/>
      <c r="G392" s="23"/>
      <c r="H392" s="24"/>
      <c r="J392" s="18" t="str">
        <f aca="false">IF(F392="","",F392*G392)</f>
        <v/>
      </c>
      <c r="K392" s="5" t="str">
        <f aca="false">IF(A392="","",IF(H392&lt;&gt;"",Assumptions!$D$5-H392,IF(C392="","",Assumptions!$D$5-(C392+Assumptions!$B$8))))</f>
        <v/>
      </c>
      <c r="L392" s="5" t="str">
        <f aca="false">IF(K392="","",IF(K392&lt;0,"Phase 1 (unliquidated)",IF(K392&lt;=Assumptions!$B$7,"Phase 1 (recently liquidated)",IF(K392&lt;=Assumptions!$B$6,"Protest required","Deadline passed — litigation only"))))</f>
        <v/>
      </c>
      <c r="M392" s="20" t="str">
        <f aca="false">IF(K392="","",IF(H392&lt;&gt;"",H392+Assumptions!$B$6,C392+Assumptions!$B$8+Assumptions!$B$6))</f>
        <v/>
      </c>
      <c r="N392" s="20" t="str">
        <f aca="false">IF(K392="","",IF(K392&lt;0,IF(H392&lt;&gt;"",H392+Assumptions!$B$7,C392+Assumptions!$B$8+Assumptions!$B$7),M392))</f>
        <v/>
      </c>
      <c r="O392" s="21" t="str">
        <f aca="false">IF(N392="","",N392-Assumptions!$D$5)</f>
        <v/>
      </c>
      <c r="P392" s="22"/>
      <c r="Q392" s="22"/>
      <c r="R392" s="18" t="str">
        <f aca="false">IF(Q392="","",Q392*IF(LEFT(L392,7)="Phase 1",Assumptions!$B$11,Assumptions!$B$12))</f>
        <v/>
      </c>
    </row>
    <row r="393" customFormat="false" ht="15" hidden="false" customHeight="true" outlineLevel="0" collapsed="false">
      <c r="C393" s="24"/>
      <c r="F393" s="22"/>
      <c r="G393" s="23"/>
      <c r="H393" s="24"/>
      <c r="J393" s="18" t="str">
        <f aca="false">IF(F393="","",F393*G393)</f>
        <v/>
      </c>
      <c r="K393" s="5" t="str">
        <f aca="false">IF(A393="","",IF(H393&lt;&gt;"",Assumptions!$D$5-H393,IF(C393="","",Assumptions!$D$5-(C393+Assumptions!$B$8))))</f>
        <v/>
      </c>
      <c r="L393" s="5" t="str">
        <f aca="false">IF(K393="","",IF(K393&lt;0,"Phase 1 (unliquidated)",IF(K393&lt;=Assumptions!$B$7,"Phase 1 (recently liquidated)",IF(K393&lt;=Assumptions!$B$6,"Protest required","Deadline passed — litigation only"))))</f>
        <v/>
      </c>
      <c r="M393" s="20" t="str">
        <f aca="false">IF(K393="","",IF(H393&lt;&gt;"",H393+Assumptions!$B$6,C393+Assumptions!$B$8+Assumptions!$B$6))</f>
        <v/>
      </c>
      <c r="N393" s="20" t="str">
        <f aca="false">IF(K393="","",IF(K393&lt;0,IF(H393&lt;&gt;"",H393+Assumptions!$B$7,C393+Assumptions!$B$8+Assumptions!$B$7),M393))</f>
        <v/>
      </c>
      <c r="O393" s="21" t="str">
        <f aca="false">IF(N393="","",N393-Assumptions!$D$5)</f>
        <v/>
      </c>
      <c r="P393" s="22"/>
      <c r="Q393" s="22"/>
      <c r="R393" s="18" t="str">
        <f aca="false">IF(Q393="","",Q393*IF(LEFT(L393,7)="Phase 1",Assumptions!$B$11,Assumptions!$B$12))</f>
        <v/>
      </c>
    </row>
    <row r="394" customFormat="false" ht="15" hidden="false" customHeight="true" outlineLevel="0" collapsed="false">
      <c r="C394" s="24"/>
      <c r="F394" s="22"/>
      <c r="G394" s="23"/>
      <c r="H394" s="24"/>
      <c r="J394" s="18" t="str">
        <f aca="false">IF(F394="","",F394*G394)</f>
        <v/>
      </c>
      <c r="K394" s="5" t="str">
        <f aca="false">IF(A394="","",IF(H394&lt;&gt;"",Assumptions!$D$5-H394,IF(C394="","",Assumptions!$D$5-(C394+Assumptions!$B$8))))</f>
        <v/>
      </c>
      <c r="L394" s="5" t="str">
        <f aca="false">IF(K394="","",IF(K394&lt;0,"Phase 1 (unliquidated)",IF(K394&lt;=Assumptions!$B$7,"Phase 1 (recently liquidated)",IF(K394&lt;=Assumptions!$B$6,"Protest required","Deadline passed — litigation only"))))</f>
        <v/>
      </c>
      <c r="M394" s="20" t="str">
        <f aca="false">IF(K394="","",IF(H394&lt;&gt;"",H394+Assumptions!$B$6,C394+Assumptions!$B$8+Assumptions!$B$6))</f>
        <v/>
      </c>
      <c r="N394" s="20" t="str">
        <f aca="false">IF(K394="","",IF(K394&lt;0,IF(H394&lt;&gt;"",H394+Assumptions!$B$7,C394+Assumptions!$B$8+Assumptions!$B$7),M394))</f>
        <v/>
      </c>
      <c r="O394" s="21" t="str">
        <f aca="false">IF(N394="","",N394-Assumptions!$D$5)</f>
        <v/>
      </c>
      <c r="P394" s="22"/>
      <c r="Q394" s="22"/>
      <c r="R394" s="18" t="str">
        <f aca="false">IF(Q394="","",Q394*IF(LEFT(L394,7)="Phase 1",Assumptions!$B$11,Assumptions!$B$12))</f>
        <v/>
      </c>
    </row>
    <row r="395" customFormat="false" ht="15" hidden="false" customHeight="true" outlineLevel="0" collapsed="false">
      <c r="C395" s="24"/>
      <c r="F395" s="22"/>
      <c r="G395" s="23"/>
      <c r="H395" s="24"/>
      <c r="J395" s="18" t="str">
        <f aca="false">IF(F395="","",F395*G395)</f>
        <v/>
      </c>
      <c r="K395" s="5" t="str">
        <f aca="false">IF(A395="","",IF(H395&lt;&gt;"",Assumptions!$D$5-H395,IF(C395="","",Assumptions!$D$5-(C395+Assumptions!$B$8))))</f>
        <v/>
      </c>
      <c r="L395" s="5" t="str">
        <f aca="false">IF(K395="","",IF(K395&lt;0,"Phase 1 (unliquidated)",IF(K395&lt;=Assumptions!$B$7,"Phase 1 (recently liquidated)",IF(K395&lt;=Assumptions!$B$6,"Protest required","Deadline passed — litigation only"))))</f>
        <v/>
      </c>
      <c r="M395" s="20" t="str">
        <f aca="false">IF(K395="","",IF(H395&lt;&gt;"",H395+Assumptions!$B$6,C395+Assumptions!$B$8+Assumptions!$B$6))</f>
        <v/>
      </c>
      <c r="N395" s="20" t="str">
        <f aca="false">IF(K395="","",IF(K395&lt;0,IF(H395&lt;&gt;"",H395+Assumptions!$B$7,C395+Assumptions!$B$8+Assumptions!$B$7),M395))</f>
        <v/>
      </c>
      <c r="O395" s="21" t="str">
        <f aca="false">IF(N395="","",N395-Assumptions!$D$5)</f>
        <v/>
      </c>
      <c r="P395" s="22"/>
      <c r="Q395" s="22"/>
      <c r="R395" s="18" t="str">
        <f aca="false">IF(Q395="","",Q395*IF(LEFT(L395,7)="Phase 1",Assumptions!$B$11,Assumptions!$B$12))</f>
        <v/>
      </c>
    </row>
    <row r="396" customFormat="false" ht="15" hidden="false" customHeight="true" outlineLevel="0" collapsed="false">
      <c r="C396" s="24"/>
      <c r="F396" s="22"/>
      <c r="G396" s="23"/>
      <c r="H396" s="24"/>
      <c r="J396" s="18" t="str">
        <f aca="false">IF(F396="","",F396*G396)</f>
        <v/>
      </c>
      <c r="K396" s="5" t="str">
        <f aca="false">IF(A396="","",IF(H396&lt;&gt;"",Assumptions!$D$5-H396,IF(C396="","",Assumptions!$D$5-(C396+Assumptions!$B$8))))</f>
        <v/>
      </c>
      <c r="L396" s="5" t="str">
        <f aca="false">IF(K396="","",IF(K396&lt;0,"Phase 1 (unliquidated)",IF(K396&lt;=Assumptions!$B$7,"Phase 1 (recently liquidated)",IF(K396&lt;=Assumptions!$B$6,"Protest required","Deadline passed — litigation only"))))</f>
        <v/>
      </c>
      <c r="M396" s="20" t="str">
        <f aca="false">IF(K396="","",IF(H396&lt;&gt;"",H396+Assumptions!$B$6,C396+Assumptions!$B$8+Assumptions!$B$6))</f>
        <v/>
      </c>
      <c r="N396" s="20" t="str">
        <f aca="false">IF(K396="","",IF(K396&lt;0,IF(H396&lt;&gt;"",H396+Assumptions!$B$7,C396+Assumptions!$B$8+Assumptions!$B$7),M396))</f>
        <v/>
      </c>
      <c r="O396" s="21" t="str">
        <f aca="false">IF(N396="","",N396-Assumptions!$D$5)</f>
        <v/>
      </c>
      <c r="P396" s="22"/>
      <c r="Q396" s="22"/>
      <c r="R396" s="18" t="str">
        <f aca="false">IF(Q396="","",Q396*IF(LEFT(L396,7)="Phase 1",Assumptions!$B$11,Assumptions!$B$12))</f>
        <v/>
      </c>
    </row>
    <row r="397" customFormat="false" ht="15" hidden="false" customHeight="true" outlineLevel="0" collapsed="false">
      <c r="C397" s="24"/>
      <c r="F397" s="22"/>
      <c r="G397" s="23"/>
      <c r="H397" s="24"/>
      <c r="J397" s="18" t="str">
        <f aca="false">IF(F397="","",F397*G397)</f>
        <v/>
      </c>
      <c r="K397" s="5" t="str">
        <f aca="false">IF(A397="","",IF(H397&lt;&gt;"",Assumptions!$D$5-H397,IF(C397="","",Assumptions!$D$5-(C397+Assumptions!$B$8))))</f>
        <v/>
      </c>
      <c r="L397" s="5" t="str">
        <f aca="false">IF(K397="","",IF(K397&lt;0,"Phase 1 (unliquidated)",IF(K397&lt;=Assumptions!$B$7,"Phase 1 (recently liquidated)",IF(K397&lt;=Assumptions!$B$6,"Protest required","Deadline passed — litigation only"))))</f>
        <v/>
      </c>
      <c r="M397" s="20" t="str">
        <f aca="false">IF(K397="","",IF(H397&lt;&gt;"",H397+Assumptions!$B$6,C397+Assumptions!$B$8+Assumptions!$B$6))</f>
        <v/>
      </c>
      <c r="N397" s="20" t="str">
        <f aca="false">IF(K397="","",IF(K397&lt;0,IF(H397&lt;&gt;"",H397+Assumptions!$B$7,C397+Assumptions!$B$8+Assumptions!$B$7),M397))</f>
        <v/>
      </c>
      <c r="O397" s="21" t="str">
        <f aca="false">IF(N397="","",N397-Assumptions!$D$5)</f>
        <v/>
      </c>
      <c r="P397" s="22"/>
      <c r="Q397" s="22"/>
      <c r="R397" s="18" t="str">
        <f aca="false">IF(Q397="","",Q397*IF(LEFT(L397,7)="Phase 1",Assumptions!$B$11,Assumptions!$B$12))</f>
        <v/>
      </c>
    </row>
    <row r="398" customFormat="false" ht="15" hidden="false" customHeight="true" outlineLevel="0" collapsed="false">
      <c r="C398" s="24"/>
      <c r="F398" s="22"/>
      <c r="G398" s="23"/>
      <c r="H398" s="24"/>
      <c r="J398" s="18" t="str">
        <f aca="false">IF(F398="","",F398*G398)</f>
        <v/>
      </c>
      <c r="K398" s="5" t="str">
        <f aca="false">IF(A398="","",IF(H398&lt;&gt;"",Assumptions!$D$5-H398,IF(C398="","",Assumptions!$D$5-(C398+Assumptions!$B$8))))</f>
        <v/>
      </c>
      <c r="L398" s="5" t="str">
        <f aca="false">IF(K398="","",IF(K398&lt;0,"Phase 1 (unliquidated)",IF(K398&lt;=Assumptions!$B$7,"Phase 1 (recently liquidated)",IF(K398&lt;=Assumptions!$B$6,"Protest required","Deadline passed — litigation only"))))</f>
        <v/>
      </c>
      <c r="M398" s="20" t="str">
        <f aca="false">IF(K398="","",IF(H398&lt;&gt;"",H398+Assumptions!$B$6,C398+Assumptions!$B$8+Assumptions!$B$6))</f>
        <v/>
      </c>
      <c r="N398" s="20" t="str">
        <f aca="false">IF(K398="","",IF(K398&lt;0,IF(H398&lt;&gt;"",H398+Assumptions!$B$7,C398+Assumptions!$B$8+Assumptions!$B$7),M398))</f>
        <v/>
      </c>
      <c r="O398" s="21" t="str">
        <f aca="false">IF(N398="","",N398-Assumptions!$D$5)</f>
        <v/>
      </c>
      <c r="P398" s="22"/>
      <c r="Q398" s="22"/>
      <c r="R398" s="18" t="str">
        <f aca="false">IF(Q398="","",Q398*IF(LEFT(L398,7)="Phase 1",Assumptions!$B$11,Assumptions!$B$12))</f>
        <v/>
      </c>
    </row>
    <row r="399" customFormat="false" ht="15" hidden="false" customHeight="true" outlineLevel="0" collapsed="false">
      <c r="C399" s="24"/>
      <c r="F399" s="22"/>
      <c r="G399" s="23"/>
      <c r="H399" s="24"/>
      <c r="J399" s="18" t="str">
        <f aca="false">IF(F399="","",F399*G399)</f>
        <v/>
      </c>
      <c r="K399" s="5" t="str">
        <f aca="false">IF(A399="","",IF(H399&lt;&gt;"",Assumptions!$D$5-H399,IF(C399="","",Assumptions!$D$5-(C399+Assumptions!$B$8))))</f>
        <v/>
      </c>
      <c r="L399" s="5" t="str">
        <f aca="false">IF(K399="","",IF(K399&lt;0,"Phase 1 (unliquidated)",IF(K399&lt;=Assumptions!$B$7,"Phase 1 (recently liquidated)",IF(K399&lt;=Assumptions!$B$6,"Protest required","Deadline passed — litigation only"))))</f>
        <v/>
      </c>
      <c r="M399" s="20" t="str">
        <f aca="false">IF(K399="","",IF(H399&lt;&gt;"",H399+Assumptions!$B$6,C399+Assumptions!$B$8+Assumptions!$B$6))</f>
        <v/>
      </c>
      <c r="N399" s="20" t="str">
        <f aca="false">IF(K399="","",IF(K399&lt;0,IF(H399&lt;&gt;"",H399+Assumptions!$B$7,C399+Assumptions!$B$8+Assumptions!$B$7),M399))</f>
        <v/>
      </c>
      <c r="O399" s="21" t="str">
        <f aca="false">IF(N399="","",N399-Assumptions!$D$5)</f>
        <v/>
      </c>
      <c r="P399" s="22"/>
      <c r="Q399" s="22"/>
      <c r="R399" s="18" t="str">
        <f aca="false">IF(Q399="","",Q399*IF(LEFT(L399,7)="Phase 1",Assumptions!$B$11,Assumptions!$B$12))</f>
        <v/>
      </c>
    </row>
    <row r="400" customFormat="false" ht="15" hidden="false" customHeight="true" outlineLevel="0" collapsed="false">
      <c r="C400" s="24"/>
      <c r="F400" s="22"/>
      <c r="G400" s="23"/>
      <c r="H400" s="24"/>
      <c r="J400" s="18" t="str">
        <f aca="false">IF(F400="","",F400*G400)</f>
        <v/>
      </c>
      <c r="K400" s="5" t="str">
        <f aca="false">IF(A400="","",IF(H400&lt;&gt;"",Assumptions!$D$5-H400,IF(C400="","",Assumptions!$D$5-(C400+Assumptions!$B$8))))</f>
        <v/>
      </c>
      <c r="L400" s="5" t="str">
        <f aca="false">IF(K400="","",IF(K400&lt;0,"Phase 1 (unliquidated)",IF(K400&lt;=Assumptions!$B$7,"Phase 1 (recently liquidated)",IF(K400&lt;=Assumptions!$B$6,"Protest required","Deadline passed — litigation only"))))</f>
        <v/>
      </c>
      <c r="M400" s="20" t="str">
        <f aca="false">IF(K400="","",IF(H400&lt;&gt;"",H400+Assumptions!$B$6,C400+Assumptions!$B$8+Assumptions!$B$6))</f>
        <v/>
      </c>
      <c r="N400" s="20" t="str">
        <f aca="false">IF(K400="","",IF(K400&lt;0,IF(H400&lt;&gt;"",H400+Assumptions!$B$7,C400+Assumptions!$B$8+Assumptions!$B$7),M400))</f>
        <v/>
      </c>
      <c r="O400" s="21" t="str">
        <f aca="false">IF(N400="","",N400-Assumptions!$D$5)</f>
        <v/>
      </c>
      <c r="P400" s="22"/>
      <c r="Q400" s="22"/>
      <c r="R400" s="18" t="str">
        <f aca="false">IF(Q400="","",Q400*IF(LEFT(L400,7)="Phase 1",Assumptions!$B$11,Assumptions!$B$12))</f>
        <v/>
      </c>
    </row>
    <row r="401" customFormat="false" ht="15" hidden="false" customHeight="true" outlineLevel="0" collapsed="false">
      <c r="C401" s="24"/>
      <c r="F401" s="22"/>
      <c r="G401" s="23"/>
      <c r="H401" s="24"/>
      <c r="J401" s="18" t="str">
        <f aca="false">IF(F401="","",F401*G401)</f>
        <v/>
      </c>
      <c r="K401" s="5" t="str">
        <f aca="false">IF(A401="","",IF(H401&lt;&gt;"",Assumptions!$D$5-H401,IF(C401="","",Assumptions!$D$5-(C401+Assumptions!$B$8))))</f>
        <v/>
      </c>
      <c r="L401" s="5" t="str">
        <f aca="false">IF(K401="","",IF(K401&lt;0,"Phase 1 (unliquidated)",IF(K401&lt;=Assumptions!$B$7,"Phase 1 (recently liquidated)",IF(K401&lt;=Assumptions!$B$6,"Protest required","Deadline passed — litigation only"))))</f>
        <v/>
      </c>
      <c r="M401" s="20" t="str">
        <f aca="false">IF(K401="","",IF(H401&lt;&gt;"",H401+Assumptions!$B$6,C401+Assumptions!$B$8+Assumptions!$B$6))</f>
        <v/>
      </c>
      <c r="N401" s="20" t="str">
        <f aca="false">IF(K401="","",IF(K401&lt;0,IF(H401&lt;&gt;"",H401+Assumptions!$B$7,C401+Assumptions!$B$8+Assumptions!$B$7),M401))</f>
        <v/>
      </c>
      <c r="O401" s="21" t="str">
        <f aca="false">IF(N401="","",N401-Assumptions!$D$5)</f>
        <v/>
      </c>
      <c r="P401" s="22"/>
      <c r="Q401" s="22"/>
      <c r="R401" s="18" t="str">
        <f aca="false">IF(Q401="","",Q401*IF(LEFT(L401,7)="Phase 1",Assumptions!$B$11,Assumptions!$B$12))</f>
        <v/>
      </c>
    </row>
    <row r="402" customFormat="false" ht="15" hidden="false" customHeight="true" outlineLevel="0" collapsed="false">
      <c r="C402" s="24"/>
      <c r="F402" s="22"/>
      <c r="G402" s="23"/>
      <c r="H402" s="24"/>
      <c r="J402" s="18" t="str">
        <f aca="false">IF(F402="","",F402*G402)</f>
        <v/>
      </c>
      <c r="K402" s="5" t="str">
        <f aca="false">IF(A402="","",IF(H402&lt;&gt;"",Assumptions!$D$5-H402,IF(C402="","",Assumptions!$D$5-(C402+Assumptions!$B$8))))</f>
        <v/>
      </c>
      <c r="L402" s="5" t="str">
        <f aca="false">IF(K402="","",IF(K402&lt;0,"Phase 1 (unliquidated)",IF(K402&lt;=Assumptions!$B$7,"Phase 1 (recently liquidated)",IF(K402&lt;=Assumptions!$B$6,"Protest required","Deadline passed — litigation only"))))</f>
        <v/>
      </c>
      <c r="M402" s="20" t="str">
        <f aca="false">IF(K402="","",IF(H402&lt;&gt;"",H402+Assumptions!$B$6,C402+Assumptions!$B$8+Assumptions!$B$6))</f>
        <v/>
      </c>
      <c r="N402" s="20" t="str">
        <f aca="false">IF(K402="","",IF(K402&lt;0,IF(H402&lt;&gt;"",H402+Assumptions!$B$7,C402+Assumptions!$B$8+Assumptions!$B$7),M402))</f>
        <v/>
      </c>
      <c r="O402" s="21" t="str">
        <f aca="false">IF(N402="","",N402-Assumptions!$D$5)</f>
        <v/>
      </c>
      <c r="P402" s="22"/>
      <c r="Q402" s="22"/>
      <c r="R402" s="18" t="str">
        <f aca="false">IF(Q402="","",Q402*IF(LEFT(L402,7)="Phase 1",Assumptions!$B$11,Assumptions!$B$12))</f>
        <v/>
      </c>
    </row>
    <row r="403" customFormat="false" ht="15" hidden="false" customHeight="true" outlineLevel="0" collapsed="false">
      <c r="C403" s="24"/>
      <c r="F403" s="22"/>
      <c r="G403" s="23"/>
      <c r="H403" s="24"/>
      <c r="J403" s="18" t="str">
        <f aca="false">IF(F403="","",F403*G403)</f>
        <v/>
      </c>
      <c r="K403" s="5" t="str">
        <f aca="false">IF(A403="","",IF(H403&lt;&gt;"",Assumptions!$D$5-H403,IF(C403="","",Assumptions!$D$5-(C403+Assumptions!$B$8))))</f>
        <v/>
      </c>
      <c r="L403" s="5" t="str">
        <f aca="false">IF(K403="","",IF(K403&lt;0,"Phase 1 (unliquidated)",IF(K403&lt;=Assumptions!$B$7,"Phase 1 (recently liquidated)",IF(K403&lt;=Assumptions!$B$6,"Protest required","Deadline passed — litigation only"))))</f>
        <v/>
      </c>
      <c r="M403" s="20" t="str">
        <f aca="false">IF(K403="","",IF(H403&lt;&gt;"",H403+Assumptions!$B$6,C403+Assumptions!$B$8+Assumptions!$B$6))</f>
        <v/>
      </c>
      <c r="N403" s="20" t="str">
        <f aca="false">IF(K403="","",IF(K403&lt;0,IF(H403&lt;&gt;"",H403+Assumptions!$B$7,C403+Assumptions!$B$8+Assumptions!$B$7),M403))</f>
        <v/>
      </c>
      <c r="O403" s="21" t="str">
        <f aca="false">IF(N403="","",N403-Assumptions!$D$5)</f>
        <v/>
      </c>
      <c r="P403" s="22"/>
      <c r="Q403" s="22"/>
      <c r="R403" s="18" t="str">
        <f aca="false">IF(Q403="","",Q403*IF(LEFT(L403,7)="Phase 1",Assumptions!$B$11,Assumptions!$B$12))</f>
        <v/>
      </c>
    </row>
    <row r="404" customFormat="false" ht="15" hidden="false" customHeight="true" outlineLevel="0" collapsed="false">
      <c r="C404" s="24"/>
      <c r="F404" s="22"/>
      <c r="G404" s="23"/>
      <c r="H404" s="24"/>
      <c r="J404" s="18" t="str">
        <f aca="false">IF(F404="","",F404*G404)</f>
        <v/>
      </c>
      <c r="K404" s="5" t="str">
        <f aca="false">IF(A404="","",IF(H404&lt;&gt;"",Assumptions!$D$5-H404,IF(C404="","",Assumptions!$D$5-(C404+Assumptions!$B$8))))</f>
        <v/>
      </c>
      <c r="L404" s="5" t="str">
        <f aca="false">IF(K404="","",IF(K404&lt;0,"Phase 1 (unliquidated)",IF(K404&lt;=Assumptions!$B$7,"Phase 1 (recently liquidated)",IF(K404&lt;=Assumptions!$B$6,"Protest required","Deadline passed — litigation only"))))</f>
        <v/>
      </c>
      <c r="M404" s="20" t="str">
        <f aca="false">IF(K404="","",IF(H404&lt;&gt;"",H404+Assumptions!$B$6,C404+Assumptions!$B$8+Assumptions!$B$6))</f>
        <v/>
      </c>
      <c r="N404" s="20" t="str">
        <f aca="false">IF(K404="","",IF(K404&lt;0,IF(H404&lt;&gt;"",H404+Assumptions!$B$7,C404+Assumptions!$B$8+Assumptions!$B$7),M404))</f>
        <v/>
      </c>
      <c r="O404" s="21" t="str">
        <f aca="false">IF(N404="","",N404-Assumptions!$D$5)</f>
        <v/>
      </c>
      <c r="P404" s="22"/>
      <c r="Q404" s="22"/>
      <c r="R404" s="18" t="str">
        <f aca="false">IF(Q404="","",Q404*IF(LEFT(L404,7)="Phase 1",Assumptions!$B$11,Assumptions!$B$12))</f>
        <v/>
      </c>
    </row>
    <row r="405" customFormat="false" ht="15" hidden="false" customHeight="true" outlineLevel="0" collapsed="false">
      <c r="C405" s="24"/>
      <c r="F405" s="22"/>
      <c r="G405" s="23"/>
      <c r="H405" s="24"/>
      <c r="J405" s="18" t="str">
        <f aca="false">IF(F405="","",F405*G405)</f>
        <v/>
      </c>
      <c r="K405" s="5" t="str">
        <f aca="false">IF(A405="","",IF(H405&lt;&gt;"",Assumptions!$D$5-H405,IF(C405="","",Assumptions!$D$5-(C405+Assumptions!$B$8))))</f>
        <v/>
      </c>
      <c r="L405" s="5" t="str">
        <f aca="false">IF(K405="","",IF(K405&lt;0,"Phase 1 (unliquidated)",IF(K405&lt;=Assumptions!$B$7,"Phase 1 (recently liquidated)",IF(K405&lt;=Assumptions!$B$6,"Protest required","Deadline passed — litigation only"))))</f>
        <v/>
      </c>
      <c r="M405" s="20" t="str">
        <f aca="false">IF(K405="","",IF(H405&lt;&gt;"",H405+Assumptions!$B$6,C405+Assumptions!$B$8+Assumptions!$B$6))</f>
        <v/>
      </c>
      <c r="N405" s="20" t="str">
        <f aca="false">IF(K405="","",IF(K405&lt;0,IF(H405&lt;&gt;"",H405+Assumptions!$B$7,C405+Assumptions!$B$8+Assumptions!$B$7),M405))</f>
        <v/>
      </c>
      <c r="O405" s="21" t="str">
        <f aca="false">IF(N405="","",N405-Assumptions!$D$5)</f>
        <v/>
      </c>
      <c r="P405" s="22"/>
      <c r="Q405" s="22"/>
      <c r="R405" s="18" t="str">
        <f aca="false">IF(Q405="","",Q405*IF(LEFT(L405,7)="Phase 1",Assumptions!$B$11,Assumptions!$B$12))</f>
        <v/>
      </c>
    </row>
    <row r="406" customFormat="false" ht="15" hidden="false" customHeight="true" outlineLevel="0" collapsed="false">
      <c r="C406" s="24"/>
      <c r="F406" s="22"/>
      <c r="G406" s="23"/>
      <c r="H406" s="24"/>
      <c r="J406" s="18" t="str">
        <f aca="false">IF(F406="","",F406*G406)</f>
        <v/>
      </c>
      <c r="K406" s="5" t="str">
        <f aca="false">IF(A406="","",IF(H406&lt;&gt;"",Assumptions!$D$5-H406,IF(C406="","",Assumptions!$D$5-(C406+Assumptions!$B$8))))</f>
        <v/>
      </c>
      <c r="L406" s="5" t="str">
        <f aca="false">IF(K406="","",IF(K406&lt;0,"Phase 1 (unliquidated)",IF(K406&lt;=Assumptions!$B$7,"Phase 1 (recently liquidated)",IF(K406&lt;=Assumptions!$B$6,"Protest required","Deadline passed — litigation only"))))</f>
        <v/>
      </c>
      <c r="M406" s="20" t="str">
        <f aca="false">IF(K406="","",IF(H406&lt;&gt;"",H406+Assumptions!$B$6,C406+Assumptions!$B$8+Assumptions!$B$6))</f>
        <v/>
      </c>
      <c r="N406" s="20" t="str">
        <f aca="false">IF(K406="","",IF(K406&lt;0,IF(H406&lt;&gt;"",H406+Assumptions!$B$7,C406+Assumptions!$B$8+Assumptions!$B$7),M406))</f>
        <v/>
      </c>
      <c r="O406" s="21" t="str">
        <f aca="false">IF(N406="","",N406-Assumptions!$D$5)</f>
        <v/>
      </c>
      <c r="P406" s="22"/>
      <c r="Q406" s="22"/>
      <c r="R406" s="18" t="str">
        <f aca="false">IF(Q406="","",Q406*IF(LEFT(L406,7)="Phase 1",Assumptions!$B$11,Assumptions!$B$12))</f>
        <v/>
      </c>
    </row>
    <row r="407" customFormat="false" ht="15" hidden="false" customHeight="true" outlineLevel="0" collapsed="false">
      <c r="C407" s="24"/>
      <c r="F407" s="22"/>
      <c r="G407" s="23"/>
      <c r="H407" s="24"/>
      <c r="J407" s="18" t="str">
        <f aca="false">IF(F407="","",F407*G407)</f>
        <v/>
      </c>
      <c r="K407" s="5" t="str">
        <f aca="false">IF(A407="","",IF(H407&lt;&gt;"",Assumptions!$D$5-H407,IF(C407="","",Assumptions!$D$5-(C407+Assumptions!$B$8))))</f>
        <v/>
      </c>
      <c r="L407" s="5" t="str">
        <f aca="false">IF(K407="","",IF(K407&lt;0,"Phase 1 (unliquidated)",IF(K407&lt;=Assumptions!$B$7,"Phase 1 (recently liquidated)",IF(K407&lt;=Assumptions!$B$6,"Protest required","Deadline passed — litigation only"))))</f>
        <v/>
      </c>
      <c r="M407" s="20" t="str">
        <f aca="false">IF(K407="","",IF(H407&lt;&gt;"",H407+Assumptions!$B$6,C407+Assumptions!$B$8+Assumptions!$B$6))</f>
        <v/>
      </c>
      <c r="N407" s="20" t="str">
        <f aca="false">IF(K407="","",IF(K407&lt;0,IF(H407&lt;&gt;"",H407+Assumptions!$B$7,C407+Assumptions!$B$8+Assumptions!$B$7),M407))</f>
        <v/>
      </c>
      <c r="O407" s="21" t="str">
        <f aca="false">IF(N407="","",N407-Assumptions!$D$5)</f>
        <v/>
      </c>
      <c r="P407" s="22"/>
      <c r="Q407" s="22"/>
      <c r="R407" s="18" t="str">
        <f aca="false">IF(Q407="","",Q407*IF(LEFT(L407,7)="Phase 1",Assumptions!$B$11,Assumptions!$B$12))</f>
        <v/>
      </c>
    </row>
    <row r="408" customFormat="false" ht="15" hidden="false" customHeight="true" outlineLevel="0" collapsed="false">
      <c r="C408" s="24"/>
      <c r="F408" s="22"/>
      <c r="G408" s="23"/>
      <c r="H408" s="24"/>
      <c r="J408" s="18" t="str">
        <f aca="false">IF(F408="","",F408*G408)</f>
        <v/>
      </c>
      <c r="K408" s="5" t="str">
        <f aca="false">IF(A408="","",IF(H408&lt;&gt;"",Assumptions!$D$5-H408,IF(C408="","",Assumptions!$D$5-(C408+Assumptions!$B$8))))</f>
        <v/>
      </c>
      <c r="L408" s="5" t="str">
        <f aca="false">IF(K408="","",IF(K408&lt;0,"Phase 1 (unliquidated)",IF(K408&lt;=Assumptions!$B$7,"Phase 1 (recently liquidated)",IF(K408&lt;=Assumptions!$B$6,"Protest required","Deadline passed — litigation only"))))</f>
        <v/>
      </c>
      <c r="M408" s="20" t="str">
        <f aca="false">IF(K408="","",IF(H408&lt;&gt;"",H408+Assumptions!$B$6,C408+Assumptions!$B$8+Assumptions!$B$6))</f>
        <v/>
      </c>
      <c r="N408" s="20" t="str">
        <f aca="false">IF(K408="","",IF(K408&lt;0,IF(H408&lt;&gt;"",H408+Assumptions!$B$7,C408+Assumptions!$B$8+Assumptions!$B$7),M408))</f>
        <v/>
      </c>
      <c r="O408" s="21" t="str">
        <f aca="false">IF(N408="","",N408-Assumptions!$D$5)</f>
        <v/>
      </c>
      <c r="P408" s="22"/>
      <c r="Q408" s="22"/>
      <c r="R408" s="18" t="str">
        <f aca="false">IF(Q408="","",Q408*IF(LEFT(L408,7)="Phase 1",Assumptions!$B$11,Assumptions!$B$12))</f>
        <v/>
      </c>
    </row>
    <row r="409" customFormat="false" ht="15" hidden="false" customHeight="true" outlineLevel="0" collapsed="false">
      <c r="C409" s="24"/>
      <c r="F409" s="22"/>
      <c r="G409" s="23"/>
      <c r="H409" s="24"/>
      <c r="J409" s="18" t="str">
        <f aca="false">IF(F409="","",F409*G409)</f>
        <v/>
      </c>
      <c r="K409" s="5" t="str">
        <f aca="false">IF(A409="","",IF(H409&lt;&gt;"",Assumptions!$D$5-H409,IF(C409="","",Assumptions!$D$5-(C409+Assumptions!$B$8))))</f>
        <v/>
      </c>
      <c r="L409" s="5" t="str">
        <f aca="false">IF(K409="","",IF(K409&lt;0,"Phase 1 (unliquidated)",IF(K409&lt;=Assumptions!$B$7,"Phase 1 (recently liquidated)",IF(K409&lt;=Assumptions!$B$6,"Protest required","Deadline passed — litigation only"))))</f>
        <v/>
      </c>
      <c r="M409" s="20" t="str">
        <f aca="false">IF(K409="","",IF(H409&lt;&gt;"",H409+Assumptions!$B$6,C409+Assumptions!$B$8+Assumptions!$B$6))</f>
        <v/>
      </c>
      <c r="N409" s="20" t="str">
        <f aca="false">IF(K409="","",IF(K409&lt;0,IF(H409&lt;&gt;"",H409+Assumptions!$B$7,C409+Assumptions!$B$8+Assumptions!$B$7),M409))</f>
        <v/>
      </c>
      <c r="O409" s="21" t="str">
        <f aca="false">IF(N409="","",N409-Assumptions!$D$5)</f>
        <v/>
      </c>
      <c r="P409" s="22"/>
      <c r="Q409" s="22"/>
      <c r="R409" s="18" t="str">
        <f aca="false">IF(Q409="","",Q409*IF(LEFT(L409,7)="Phase 1",Assumptions!$B$11,Assumptions!$B$12))</f>
        <v/>
      </c>
    </row>
    <row r="410" customFormat="false" ht="15" hidden="false" customHeight="true" outlineLevel="0" collapsed="false">
      <c r="C410" s="24"/>
      <c r="F410" s="22"/>
      <c r="G410" s="23"/>
      <c r="H410" s="24"/>
      <c r="J410" s="18" t="str">
        <f aca="false">IF(F410="","",F410*G410)</f>
        <v/>
      </c>
      <c r="K410" s="5" t="str">
        <f aca="false">IF(A410="","",IF(H410&lt;&gt;"",Assumptions!$D$5-H410,IF(C410="","",Assumptions!$D$5-(C410+Assumptions!$B$8))))</f>
        <v/>
      </c>
      <c r="L410" s="5" t="str">
        <f aca="false">IF(K410="","",IF(K410&lt;0,"Phase 1 (unliquidated)",IF(K410&lt;=Assumptions!$B$7,"Phase 1 (recently liquidated)",IF(K410&lt;=Assumptions!$B$6,"Protest required","Deadline passed — litigation only"))))</f>
        <v/>
      </c>
      <c r="M410" s="20" t="str">
        <f aca="false">IF(K410="","",IF(H410&lt;&gt;"",H410+Assumptions!$B$6,C410+Assumptions!$B$8+Assumptions!$B$6))</f>
        <v/>
      </c>
      <c r="N410" s="20" t="str">
        <f aca="false">IF(K410="","",IF(K410&lt;0,IF(H410&lt;&gt;"",H410+Assumptions!$B$7,C410+Assumptions!$B$8+Assumptions!$B$7),M410))</f>
        <v/>
      </c>
      <c r="O410" s="21" t="str">
        <f aca="false">IF(N410="","",N410-Assumptions!$D$5)</f>
        <v/>
      </c>
      <c r="P410" s="22"/>
      <c r="Q410" s="22"/>
      <c r="R410" s="18" t="str">
        <f aca="false">IF(Q410="","",Q410*IF(LEFT(L410,7)="Phase 1",Assumptions!$B$11,Assumptions!$B$12))</f>
        <v/>
      </c>
    </row>
    <row r="411" customFormat="false" ht="15" hidden="false" customHeight="true" outlineLevel="0" collapsed="false">
      <c r="C411" s="24"/>
      <c r="F411" s="22"/>
      <c r="G411" s="23"/>
      <c r="H411" s="24"/>
      <c r="J411" s="18" t="str">
        <f aca="false">IF(F411="","",F411*G411)</f>
        <v/>
      </c>
      <c r="K411" s="5" t="str">
        <f aca="false">IF(A411="","",IF(H411&lt;&gt;"",Assumptions!$D$5-H411,IF(C411="","",Assumptions!$D$5-(C411+Assumptions!$B$8))))</f>
        <v/>
      </c>
      <c r="L411" s="5" t="str">
        <f aca="false">IF(K411="","",IF(K411&lt;0,"Phase 1 (unliquidated)",IF(K411&lt;=Assumptions!$B$7,"Phase 1 (recently liquidated)",IF(K411&lt;=Assumptions!$B$6,"Protest required","Deadline passed — litigation only"))))</f>
        <v/>
      </c>
      <c r="M411" s="20" t="str">
        <f aca="false">IF(K411="","",IF(H411&lt;&gt;"",H411+Assumptions!$B$6,C411+Assumptions!$B$8+Assumptions!$B$6))</f>
        <v/>
      </c>
      <c r="N411" s="20" t="str">
        <f aca="false">IF(K411="","",IF(K411&lt;0,IF(H411&lt;&gt;"",H411+Assumptions!$B$7,C411+Assumptions!$B$8+Assumptions!$B$7),M411))</f>
        <v/>
      </c>
      <c r="O411" s="21" t="str">
        <f aca="false">IF(N411="","",N411-Assumptions!$D$5)</f>
        <v/>
      </c>
      <c r="P411" s="22"/>
      <c r="Q411" s="22"/>
      <c r="R411" s="18" t="str">
        <f aca="false">IF(Q411="","",Q411*IF(LEFT(L411,7)="Phase 1",Assumptions!$B$11,Assumptions!$B$12))</f>
        <v/>
      </c>
    </row>
    <row r="412" customFormat="false" ht="15" hidden="false" customHeight="true" outlineLevel="0" collapsed="false">
      <c r="C412" s="24"/>
      <c r="F412" s="22"/>
      <c r="G412" s="23"/>
      <c r="H412" s="24"/>
      <c r="J412" s="18" t="str">
        <f aca="false">IF(F412="","",F412*G412)</f>
        <v/>
      </c>
      <c r="K412" s="5" t="str">
        <f aca="false">IF(A412="","",IF(H412&lt;&gt;"",Assumptions!$D$5-H412,IF(C412="","",Assumptions!$D$5-(C412+Assumptions!$B$8))))</f>
        <v/>
      </c>
      <c r="L412" s="5" t="str">
        <f aca="false">IF(K412="","",IF(K412&lt;0,"Phase 1 (unliquidated)",IF(K412&lt;=Assumptions!$B$7,"Phase 1 (recently liquidated)",IF(K412&lt;=Assumptions!$B$6,"Protest required","Deadline passed — litigation only"))))</f>
        <v/>
      </c>
      <c r="M412" s="20" t="str">
        <f aca="false">IF(K412="","",IF(H412&lt;&gt;"",H412+Assumptions!$B$6,C412+Assumptions!$B$8+Assumptions!$B$6))</f>
        <v/>
      </c>
      <c r="N412" s="20" t="str">
        <f aca="false">IF(K412="","",IF(K412&lt;0,IF(H412&lt;&gt;"",H412+Assumptions!$B$7,C412+Assumptions!$B$8+Assumptions!$B$7),M412))</f>
        <v/>
      </c>
      <c r="O412" s="21" t="str">
        <f aca="false">IF(N412="","",N412-Assumptions!$D$5)</f>
        <v/>
      </c>
      <c r="P412" s="22"/>
      <c r="Q412" s="22"/>
      <c r="R412" s="18" t="str">
        <f aca="false">IF(Q412="","",Q412*IF(LEFT(L412,7)="Phase 1",Assumptions!$B$11,Assumptions!$B$12))</f>
        <v/>
      </c>
    </row>
    <row r="413" customFormat="false" ht="15" hidden="false" customHeight="true" outlineLevel="0" collapsed="false">
      <c r="C413" s="24"/>
      <c r="F413" s="22"/>
      <c r="G413" s="23"/>
      <c r="H413" s="24"/>
      <c r="J413" s="18" t="str">
        <f aca="false">IF(F413="","",F413*G413)</f>
        <v/>
      </c>
      <c r="K413" s="5" t="str">
        <f aca="false">IF(A413="","",IF(H413&lt;&gt;"",Assumptions!$D$5-H413,IF(C413="","",Assumptions!$D$5-(C413+Assumptions!$B$8))))</f>
        <v/>
      </c>
      <c r="L413" s="5" t="str">
        <f aca="false">IF(K413="","",IF(K413&lt;0,"Phase 1 (unliquidated)",IF(K413&lt;=Assumptions!$B$7,"Phase 1 (recently liquidated)",IF(K413&lt;=Assumptions!$B$6,"Protest required","Deadline passed — litigation only"))))</f>
        <v/>
      </c>
      <c r="M413" s="20" t="str">
        <f aca="false">IF(K413="","",IF(H413&lt;&gt;"",H413+Assumptions!$B$6,C413+Assumptions!$B$8+Assumptions!$B$6))</f>
        <v/>
      </c>
      <c r="N413" s="20" t="str">
        <f aca="false">IF(K413="","",IF(K413&lt;0,IF(H413&lt;&gt;"",H413+Assumptions!$B$7,C413+Assumptions!$B$8+Assumptions!$B$7),M413))</f>
        <v/>
      </c>
      <c r="O413" s="21" t="str">
        <f aca="false">IF(N413="","",N413-Assumptions!$D$5)</f>
        <v/>
      </c>
      <c r="P413" s="22"/>
      <c r="Q413" s="22"/>
      <c r="R413" s="18" t="str">
        <f aca="false">IF(Q413="","",Q413*IF(LEFT(L413,7)="Phase 1",Assumptions!$B$11,Assumptions!$B$12))</f>
        <v/>
      </c>
    </row>
    <row r="414" customFormat="false" ht="15" hidden="false" customHeight="true" outlineLevel="0" collapsed="false">
      <c r="C414" s="24"/>
      <c r="F414" s="22"/>
      <c r="G414" s="23"/>
      <c r="H414" s="24"/>
      <c r="J414" s="18" t="str">
        <f aca="false">IF(F414="","",F414*G414)</f>
        <v/>
      </c>
      <c r="K414" s="5" t="str">
        <f aca="false">IF(A414="","",IF(H414&lt;&gt;"",Assumptions!$D$5-H414,IF(C414="","",Assumptions!$D$5-(C414+Assumptions!$B$8))))</f>
        <v/>
      </c>
      <c r="L414" s="5" t="str">
        <f aca="false">IF(K414="","",IF(K414&lt;0,"Phase 1 (unliquidated)",IF(K414&lt;=Assumptions!$B$7,"Phase 1 (recently liquidated)",IF(K414&lt;=Assumptions!$B$6,"Protest required","Deadline passed — litigation only"))))</f>
        <v/>
      </c>
      <c r="M414" s="20" t="str">
        <f aca="false">IF(K414="","",IF(H414&lt;&gt;"",H414+Assumptions!$B$6,C414+Assumptions!$B$8+Assumptions!$B$6))</f>
        <v/>
      </c>
      <c r="N414" s="20" t="str">
        <f aca="false">IF(K414="","",IF(K414&lt;0,IF(H414&lt;&gt;"",H414+Assumptions!$B$7,C414+Assumptions!$B$8+Assumptions!$B$7),M414))</f>
        <v/>
      </c>
      <c r="O414" s="21" t="str">
        <f aca="false">IF(N414="","",N414-Assumptions!$D$5)</f>
        <v/>
      </c>
      <c r="P414" s="22"/>
      <c r="Q414" s="22"/>
      <c r="R414" s="18" t="str">
        <f aca="false">IF(Q414="","",Q414*IF(LEFT(L414,7)="Phase 1",Assumptions!$B$11,Assumptions!$B$12))</f>
        <v/>
      </c>
    </row>
    <row r="415" customFormat="false" ht="15" hidden="false" customHeight="true" outlineLevel="0" collapsed="false">
      <c r="C415" s="24"/>
      <c r="F415" s="22"/>
      <c r="G415" s="23"/>
      <c r="H415" s="24"/>
      <c r="J415" s="18" t="str">
        <f aca="false">IF(F415="","",F415*G415)</f>
        <v/>
      </c>
      <c r="K415" s="5" t="str">
        <f aca="false">IF(A415="","",IF(H415&lt;&gt;"",Assumptions!$D$5-H415,IF(C415="","",Assumptions!$D$5-(C415+Assumptions!$B$8))))</f>
        <v/>
      </c>
      <c r="L415" s="5" t="str">
        <f aca="false">IF(K415="","",IF(K415&lt;0,"Phase 1 (unliquidated)",IF(K415&lt;=Assumptions!$B$7,"Phase 1 (recently liquidated)",IF(K415&lt;=Assumptions!$B$6,"Protest required","Deadline passed — litigation only"))))</f>
        <v/>
      </c>
      <c r="M415" s="20" t="str">
        <f aca="false">IF(K415="","",IF(H415&lt;&gt;"",H415+Assumptions!$B$6,C415+Assumptions!$B$8+Assumptions!$B$6))</f>
        <v/>
      </c>
      <c r="N415" s="20" t="str">
        <f aca="false">IF(K415="","",IF(K415&lt;0,IF(H415&lt;&gt;"",H415+Assumptions!$B$7,C415+Assumptions!$B$8+Assumptions!$B$7),M415))</f>
        <v/>
      </c>
      <c r="O415" s="21" t="str">
        <f aca="false">IF(N415="","",N415-Assumptions!$D$5)</f>
        <v/>
      </c>
      <c r="P415" s="22"/>
      <c r="Q415" s="22"/>
      <c r="R415" s="18" t="str">
        <f aca="false">IF(Q415="","",Q415*IF(LEFT(L415,7)="Phase 1",Assumptions!$B$11,Assumptions!$B$12))</f>
        <v/>
      </c>
    </row>
    <row r="416" customFormat="false" ht="15" hidden="false" customHeight="true" outlineLevel="0" collapsed="false">
      <c r="C416" s="24"/>
      <c r="F416" s="22"/>
      <c r="G416" s="23"/>
      <c r="H416" s="24"/>
      <c r="J416" s="18" t="str">
        <f aca="false">IF(F416="","",F416*G416)</f>
        <v/>
      </c>
      <c r="K416" s="5" t="str">
        <f aca="false">IF(A416="","",IF(H416&lt;&gt;"",Assumptions!$D$5-H416,IF(C416="","",Assumptions!$D$5-(C416+Assumptions!$B$8))))</f>
        <v/>
      </c>
      <c r="L416" s="5" t="str">
        <f aca="false">IF(K416="","",IF(K416&lt;0,"Phase 1 (unliquidated)",IF(K416&lt;=Assumptions!$B$7,"Phase 1 (recently liquidated)",IF(K416&lt;=Assumptions!$B$6,"Protest required","Deadline passed — litigation only"))))</f>
        <v/>
      </c>
      <c r="M416" s="20" t="str">
        <f aca="false">IF(K416="","",IF(H416&lt;&gt;"",H416+Assumptions!$B$6,C416+Assumptions!$B$8+Assumptions!$B$6))</f>
        <v/>
      </c>
      <c r="N416" s="20" t="str">
        <f aca="false">IF(K416="","",IF(K416&lt;0,IF(H416&lt;&gt;"",H416+Assumptions!$B$7,C416+Assumptions!$B$8+Assumptions!$B$7),M416))</f>
        <v/>
      </c>
      <c r="O416" s="21" t="str">
        <f aca="false">IF(N416="","",N416-Assumptions!$D$5)</f>
        <v/>
      </c>
      <c r="P416" s="22"/>
      <c r="Q416" s="22"/>
      <c r="R416" s="18" t="str">
        <f aca="false">IF(Q416="","",Q416*IF(LEFT(L416,7)="Phase 1",Assumptions!$B$11,Assumptions!$B$12))</f>
        <v/>
      </c>
    </row>
    <row r="417" customFormat="false" ht="15" hidden="false" customHeight="true" outlineLevel="0" collapsed="false">
      <c r="C417" s="24"/>
      <c r="F417" s="22"/>
      <c r="G417" s="23"/>
      <c r="H417" s="24"/>
      <c r="J417" s="18" t="str">
        <f aca="false">IF(F417="","",F417*G417)</f>
        <v/>
      </c>
      <c r="K417" s="5" t="str">
        <f aca="false">IF(A417="","",IF(H417&lt;&gt;"",Assumptions!$D$5-H417,IF(C417="","",Assumptions!$D$5-(C417+Assumptions!$B$8))))</f>
        <v/>
      </c>
      <c r="L417" s="5" t="str">
        <f aca="false">IF(K417="","",IF(K417&lt;0,"Phase 1 (unliquidated)",IF(K417&lt;=Assumptions!$B$7,"Phase 1 (recently liquidated)",IF(K417&lt;=Assumptions!$B$6,"Protest required","Deadline passed — litigation only"))))</f>
        <v/>
      </c>
      <c r="M417" s="20" t="str">
        <f aca="false">IF(K417="","",IF(H417&lt;&gt;"",H417+Assumptions!$B$6,C417+Assumptions!$B$8+Assumptions!$B$6))</f>
        <v/>
      </c>
      <c r="N417" s="20" t="str">
        <f aca="false">IF(K417="","",IF(K417&lt;0,IF(H417&lt;&gt;"",H417+Assumptions!$B$7,C417+Assumptions!$B$8+Assumptions!$B$7),M417))</f>
        <v/>
      </c>
      <c r="O417" s="21" t="str">
        <f aca="false">IF(N417="","",N417-Assumptions!$D$5)</f>
        <v/>
      </c>
      <c r="P417" s="22"/>
      <c r="Q417" s="22"/>
      <c r="R417" s="18" t="str">
        <f aca="false">IF(Q417="","",Q417*IF(LEFT(L417,7)="Phase 1",Assumptions!$B$11,Assumptions!$B$12))</f>
        <v/>
      </c>
    </row>
    <row r="418" customFormat="false" ht="15" hidden="false" customHeight="true" outlineLevel="0" collapsed="false">
      <c r="C418" s="24"/>
      <c r="F418" s="22"/>
      <c r="G418" s="23"/>
      <c r="H418" s="24"/>
      <c r="J418" s="18" t="str">
        <f aca="false">IF(F418="","",F418*G418)</f>
        <v/>
      </c>
      <c r="K418" s="5" t="str">
        <f aca="false">IF(A418="","",IF(H418&lt;&gt;"",Assumptions!$D$5-H418,IF(C418="","",Assumptions!$D$5-(C418+Assumptions!$B$8))))</f>
        <v/>
      </c>
      <c r="L418" s="5" t="str">
        <f aca="false">IF(K418="","",IF(K418&lt;0,"Phase 1 (unliquidated)",IF(K418&lt;=Assumptions!$B$7,"Phase 1 (recently liquidated)",IF(K418&lt;=Assumptions!$B$6,"Protest required","Deadline passed — litigation only"))))</f>
        <v/>
      </c>
      <c r="M418" s="20" t="str">
        <f aca="false">IF(K418="","",IF(H418&lt;&gt;"",H418+Assumptions!$B$6,C418+Assumptions!$B$8+Assumptions!$B$6))</f>
        <v/>
      </c>
      <c r="N418" s="20" t="str">
        <f aca="false">IF(K418="","",IF(K418&lt;0,IF(H418&lt;&gt;"",H418+Assumptions!$B$7,C418+Assumptions!$B$8+Assumptions!$B$7),M418))</f>
        <v/>
      </c>
      <c r="O418" s="21" t="str">
        <f aca="false">IF(N418="","",N418-Assumptions!$D$5)</f>
        <v/>
      </c>
      <c r="P418" s="22"/>
      <c r="Q418" s="22"/>
      <c r="R418" s="18" t="str">
        <f aca="false">IF(Q418="","",Q418*IF(LEFT(L418,7)="Phase 1",Assumptions!$B$11,Assumptions!$B$12))</f>
        <v/>
      </c>
    </row>
    <row r="419" customFormat="false" ht="15" hidden="false" customHeight="true" outlineLevel="0" collapsed="false">
      <c r="C419" s="24"/>
      <c r="F419" s="22"/>
      <c r="G419" s="23"/>
      <c r="H419" s="24"/>
      <c r="J419" s="18" t="str">
        <f aca="false">IF(F419="","",F419*G419)</f>
        <v/>
      </c>
      <c r="K419" s="5" t="str">
        <f aca="false">IF(A419="","",IF(H419&lt;&gt;"",Assumptions!$D$5-H419,IF(C419="","",Assumptions!$D$5-(C419+Assumptions!$B$8))))</f>
        <v/>
      </c>
      <c r="L419" s="5" t="str">
        <f aca="false">IF(K419="","",IF(K419&lt;0,"Phase 1 (unliquidated)",IF(K419&lt;=Assumptions!$B$7,"Phase 1 (recently liquidated)",IF(K419&lt;=Assumptions!$B$6,"Protest required","Deadline passed — litigation only"))))</f>
        <v/>
      </c>
      <c r="M419" s="20" t="str">
        <f aca="false">IF(K419="","",IF(H419&lt;&gt;"",H419+Assumptions!$B$6,C419+Assumptions!$B$8+Assumptions!$B$6))</f>
        <v/>
      </c>
      <c r="N419" s="20" t="str">
        <f aca="false">IF(K419="","",IF(K419&lt;0,IF(H419&lt;&gt;"",H419+Assumptions!$B$7,C419+Assumptions!$B$8+Assumptions!$B$7),M419))</f>
        <v/>
      </c>
      <c r="O419" s="21" t="str">
        <f aca="false">IF(N419="","",N419-Assumptions!$D$5)</f>
        <v/>
      </c>
      <c r="P419" s="22"/>
      <c r="Q419" s="22"/>
      <c r="R419" s="18" t="str">
        <f aca="false">IF(Q419="","",Q419*IF(LEFT(L419,7)="Phase 1",Assumptions!$B$11,Assumptions!$B$12))</f>
        <v/>
      </c>
    </row>
    <row r="420" customFormat="false" ht="15" hidden="false" customHeight="true" outlineLevel="0" collapsed="false">
      <c r="C420" s="24"/>
      <c r="F420" s="22"/>
      <c r="G420" s="23"/>
      <c r="H420" s="24"/>
      <c r="J420" s="18" t="str">
        <f aca="false">IF(F420="","",F420*G420)</f>
        <v/>
      </c>
      <c r="K420" s="5" t="str">
        <f aca="false">IF(A420="","",IF(H420&lt;&gt;"",Assumptions!$D$5-H420,IF(C420="","",Assumptions!$D$5-(C420+Assumptions!$B$8))))</f>
        <v/>
      </c>
      <c r="L420" s="5" t="str">
        <f aca="false">IF(K420="","",IF(K420&lt;0,"Phase 1 (unliquidated)",IF(K420&lt;=Assumptions!$B$7,"Phase 1 (recently liquidated)",IF(K420&lt;=Assumptions!$B$6,"Protest required","Deadline passed — litigation only"))))</f>
        <v/>
      </c>
      <c r="M420" s="20" t="str">
        <f aca="false">IF(K420="","",IF(H420&lt;&gt;"",H420+Assumptions!$B$6,C420+Assumptions!$B$8+Assumptions!$B$6))</f>
        <v/>
      </c>
      <c r="N420" s="20" t="str">
        <f aca="false">IF(K420="","",IF(K420&lt;0,IF(H420&lt;&gt;"",H420+Assumptions!$B$7,C420+Assumptions!$B$8+Assumptions!$B$7),M420))</f>
        <v/>
      </c>
      <c r="O420" s="21" t="str">
        <f aca="false">IF(N420="","",N420-Assumptions!$D$5)</f>
        <v/>
      </c>
      <c r="P420" s="22"/>
      <c r="Q420" s="22"/>
      <c r="R420" s="18" t="str">
        <f aca="false">IF(Q420="","",Q420*IF(LEFT(L420,7)="Phase 1",Assumptions!$B$11,Assumptions!$B$12))</f>
        <v/>
      </c>
    </row>
    <row r="421" customFormat="false" ht="15" hidden="false" customHeight="true" outlineLevel="0" collapsed="false">
      <c r="C421" s="24"/>
      <c r="F421" s="22"/>
      <c r="G421" s="23"/>
      <c r="H421" s="24"/>
      <c r="J421" s="18" t="str">
        <f aca="false">IF(F421="","",F421*G421)</f>
        <v/>
      </c>
      <c r="K421" s="5" t="str">
        <f aca="false">IF(A421="","",IF(H421&lt;&gt;"",Assumptions!$D$5-H421,IF(C421="","",Assumptions!$D$5-(C421+Assumptions!$B$8))))</f>
        <v/>
      </c>
      <c r="L421" s="5" t="str">
        <f aca="false">IF(K421="","",IF(K421&lt;0,"Phase 1 (unliquidated)",IF(K421&lt;=Assumptions!$B$7,"Phase 1 (recently liquidated)",IF(K421&lt;=Assumptions!$B$6,"Protest required","Deadline passed — litigation only"))))</f>
        <v/>
      </c>
      <c r="M421" s="20" t="str">
        <f aca="false">IF(K421="","",IF(H421&lt;&gt;"",H421+Assumptions!$B$6,C421+Assumptions!$B$8+Assumptions!$B$6))</f>
        <v/>
      </c>
      <c r="N421" s="20" t="str">
        <f aca="false">IF(K421="","",IF(K421&lt;0,IF(H421&lt;&gt;"",H421+Assumptions!$B$7,C421+Assumptions!$B$8+Assumptions!$B$7),M421))</f>
        <v/>
      </c>
      <c r="O421" s="21" t="str">
        <f aca="false">IF(N421="","",N421-Assumptions!$D$5)</f>
        <v/>
      </c>
      <c r="P421" s="22"/>
      <c r="Q421" s="22"/>
      <c r="R421" s="18" t="str">
        <f aca="false">IF(Q421="","",Q421*IF(LEFT(L421,7)="Phase 1",Assumptions!$B$11,Assumptions!$B$12))</f>
        <v/>
      </c>
    </row>
    <row r="422" customFormat="false" ht="15" hidden="false" customHeight="true" outlineLevel="0" collapsed="false">
      <c r="C422" s="24"/>
      <c r="F422" s="22"/>
      <c r="G422" s="23"/>
      <c r="H422" s="24"/>
      <c r="J422" s="18" t="str">
        <f aca="false">IF(F422="","",F422*G422)</f>
        <v/>
      </c>
      <c r="K422" s="5" t="str">
        <f aca="false">IF(A422="","",IF(H422&lt;&gt;"",Assumptions!$D$5-H422,IF(C422="","",Assumptions!$D$5-(C422+Assumptions!$B$8))))</f>
        <v/>
      </c>
      <c r="L422" s="5" t="str">
        <f aca="false">IF(K422="","",IF(K422&lt;0,"Phase 1 (unliquidated)",IF(K422&lt;=Assumptions!$B$7,"Phase 1 (recently liquidated)",IF(K422&lt;=Assumptions!$B$6,"Protest required","Deadline passed — litigation only"))))</f>
        <v/>
      </c>
      <c r="M422" s="20" t="str">
        <f aca="false">IF(K422="","",IF(H422&lt;&gt;"",H422+Assumptions!$B$6,C422+Assumptions!$B$8+Assumptions!$B$6))</f>
        <v/>
      </c>
      <c r="N422" s="20" t="str">
        <f aca="false">IF(K422="","",IF(K422&lt;0,IF(H422&lt;&gt;"",H422+Assumptions!$B$7,C422+Assumptions!$B$8+Assumptions!$B$7),M422))</f>
        <v/>
      </c>
      <c r="O422" s="21" t="str">
        <f aca="false">IF(N422="","",N422-Assumptions!$D$5)</f>
        <v/>
      </c>
      <c r="P422" s="22"/>
      <c r="Q422" s="22"/>
      <c r="R422" s="18" t="str">
        <f aca="false">IF(Q422="","",Q422*IF(LEFT(L422,7)="Phase 1",Assumptions!$B$11,Assumptions!$B$12))</f>
        <v/>
      </c>
    </row>
    <row r="423" customFormat="false" ht="15" hidden="false" customHeight="true" outlineLevel="0" collapsed="false">
      <c r="C423" s="24"/>
      <c r="F423" s="22"/>
      <c r="G423" s="23"/>
      <c r="H423" s="24"/>
      <c r="J423" s="18" t="str">
        <f aca="false">IF(F423="","",F423*G423)</f>
        <v/>
      </c>
      <c r="K423" s="5" t="str">
        <f aca="false">IF(A423="","",IF(H423&lt;&gt;"",Assumptions!$D$5-H423,IF(C423="","",Assumptions!$D$5-(C423+Assumptions!$B$8))))</f>
        <v/>
      </c>
      <c r="L423" s="5" t="str">
        <f aca="false">IF(K423="","",IF(K423&lt;0,"Phase 1 (unliquidated)",IF(K423&lt;=Assumptions!$B$7,"Phase 1 (recently liquidated)",IF(K423&lt;=Assumptions!$B$6,"Protest required","Deadline passed — litigation only"))))</f>
        <v/>
      </c>
      <c r="M423" s="20" t="str">
        <f aca="false">IF(K423="","",IF(H423&lt;&gt;"",H423+Assumptions!$B$6,C423+Assumptions!$B$8+Assumptions!$B$6))</f>
        <v/>
      </c>
      <c r="N423" s="20" t="str">
        <f aca="false">IF(K423="","",IF(K423&lt;0,IF(H423&lt;&gt;"",H423+Assumptions!$B$7,C423+Assumptions!$B$8+Assumptions!$B$7),M423))</f>
        <v/>
      </c>
      <c r="O423" s="21" t="str">
        <f aca="false">IF(N423="","",N423-Assumptions!$D$5)</f>
        <v/>
      </c>
      <c r="P423" s="22"/>
      <c r="Q423" s="22"/>
      <c r="R423" s="18" t="str">
        <f aca="false">IF(Q423="","",Q423*IF(LEFT(L423,7)="Phase 1",Assumptions!$B$11,Assumptions!$B$12))</f>
        <v/>
      </c>
    </row>
    <row r="424" customFormat="false" ht="15" hidden="false" customHeight="true" outlineLevel="0" collapsed="false">
      <c r="C424" s="24"/>
      <c r="F424" s="22"/>
      <c r="G424" s="23"/>
      <c r="H424" s="24"/>
      <c r="J424" s="18" t="str">
        <f aca="false">IF(F424="","",F424*G424)</f>
        <v/>
      </c>
      <c r="K424" s="5" t="str">
        <f aca="false">IF(A424="","",IF(H424&lt;&gt;"",Assumptions!$D$5-H424,IF(C424="","",Assumptions!$D$5-(C424+Assumptions!$B$8))))</f>
        <v/>
      </c>
      <c r="L424" s="5" t="str">
        <f aca="false">IF(K424="","",IF(K424&lt;0,"Phase 1 (unliquidated)",IF(K424&lt;=Assumptions!$B$7,"Phase 1 (recently liquidated)",IF(K424&lt;=Assumptions!$B$6,"Protest required","Deadline passed — litigation only"))))</f>
        <v/>
      </c>
      <c r="M424" s="20" t="str">
        <f aca="false">IF(K424="","",IF(H424&lt;&gt;"",H424+Assumptions!$B$6,C424+Assumptions!$B$8+Assumptions!$B$6))</f>
        <v/>
      </c>
      <c r="N424" s="20" t="str">
        <f aca="false">IF(K424="","",IF(K424&lt;0,IF(H424&lt;&gt;"",H424+Assumptions!$B$7,C424+Assumptions!$B$8+Assumptions!$B$7),M424))</f>
        <v/>
      </c>
      <c r="O424" s="21" t="str">
        <f aca="false">IF(N424="","",N424-Assumptions!$D$5)</f>
        <v/>
      </c>
      <c r="P424" s="22"/>
      <c r="Q424" s="22"/>
      <c r="R424" s="18" t="str">
        <f aca="false">IF(Q424="","",Q424*IF(LEFT(L424,7)="Phase 1",Assumptions!$B$11,Assumptions!$B$12))</f>
        <v/>
      </c>
    </row>
    <row r="425" customFormat="false" ht="15" hidden="false" customHeight="true" outlineLevel="0" collapsed="false">
      <c r="C425" s="24"/>
      <c r="F425" s="22"/>
      <c r="G425" s="23"/>
      <c r="H425" s="24"/>
      <c r="J425" s="18" t="str">
        <f aca="false">IF(F425="","",F425*G425)</f>
        <v/>
      </c>
      <c r="K425" s="5" t="str">
        <f aca="false">IF(A425="","",IF(H425&lt;&gt;"",Assumptions!$D$5-H425,IF(C425="","",Assumptions!$D$5-(C425+Assumptions!$B$8))))</f>
        <v/>
      </c>
      <c r="L425" s="5" t="str">
        <f aca="false">IF(K425="","",IF(K425&lt;0,"Phase 1 (unliquidated)",IF(K425&lt;=Assumptions!$B$7,"Phase 1 (recently liquidated)",IF(K425&lt;=Assumptions!$B$6,"Protest required","Deadline passed — litigation only"))))</f>
        <v/>
      </c>
      <c r="M425" s="20" t="str">
        <f aca="false">IF(K425="","",IF(H425&lt;&gt;"",H425+Assumptions!$B$6,C425+Assumptions!$B$8+Assumptions!$B$6))</f>
        <v/>
      </c>
      <c r="N425" s="20" t="str">
        <f aca="false">IF(K425="","",IF(K425&lt;0,IF(H425&lt;&gt;"",H425+Assumptions!$B$7,C425+Assumptions!$B$8+Assumptions!$B$7),M425))</f>
        <v/>
      </c>
      <c r="O425" s="21" t="str">
        <f aca="false">IF(N425="","",N425-Assumptions!$D$5)</f>
        <v/>
      </c>
      <c r="P425" s="22"/>
      <c r="Q425" s="22"/>
      <c r="R425" s="18" t="str">
        <f aca="false">IF(Q425="","",Q425*IF(LEFT(L425,7)="Phase 1",Assumptions!$B$11,Assumptions!$B$12))</f>
        <v/>
      </c>
    </row>
    <row r="426" customFormat="false" ht="15" hidden="false" customHeight="true" outlineLevel="0" collapsed="false">
      <c r="C426" s="24"/>
      <c r="F426" s="22"/>
      <c r="G426" s="23"/>
      <c r="H426" s="24"/>
      <c r="J426" s="18" t="str">
        <f aca="false">IF(F426="","",F426*G426)</f>
        <v/>
      </c>
      <c r="K426" s="5" t="str">
        <f aca="false">IF(A426="","",IF(H426&lt;&gt;"",Assumptions!$D$5-H426,IF(C426="","",Assumptions!$D$5-(C426+Assumptions!$B$8))))</f>
        <v/>
      </c>
      <c r="L426" s="5" t="str">
        <f aca="false">IF(K426="","",IF(K426&lt;0,"Phase 1 (unliquidated)",IF(K426&lt;=Assumptions!$B$7,"Phase 1 (recently liquidated)",IF(K426&lt;=Assumptions!$B$6,"Protest required","Deadline passed — litigation only"))))</f>
        <v/>
      </c>
      <c r="M426" s="20" t="str">
        <f aca="false">IF(K426="","",IF(H426&lt;&gt;"",H426+Assumptions!$B$6,C426+Assumptions!$B$8+Assumptions!$B$6))</f>
        <v/>
      </c>
      <c r="N426" s="20" t="str">
        <f aca="false">IF(K426="","",IF(K426&lt;0,IF(H426&lt;&gt;"",H426+Assumptions!$B$7,C426+Assumptions!$B$8+Assumptions!$B$7),M426))</f>
        <v/>
      </c>
      <c r="O426" s="21" t="str">
        <f aca="false">IF(N426="","",N426-Assumptions!$D$5)</f>
        <v/>
      </c>
      <c r="P426" s="22"/>
      <c r="Q426" s="22"/>
      <c r="R426" s="18" t="str">
        <f aca="false">IF(Q426="","",Q426*IF(LEFT(L426,7)="Phase 1",Assumptions!$B$11,Assumptions!$B$12))</f>
        <v/>
      </c>
    </row>
    <row r="427" customFormat="false" ht="15" hidden="false" customHeight="true" outlineLevel="0" collapsed="false">
      <c r="C427" s="24"/>
      <c r="F427" s="22"/>
      <c r="G427" s="23"/>
      <c r="H427" s="24"/>
      <c r="J427" s="18" t="str">
        <f aca="false">IF(F427="","",F427*G427)</f>
        <v/>
      </c>
      <c r="K427" s="5" t="str">
        <f aca="false">IF(A427="","",IF(H427&lt;&gt;"",Assumptions!$D$5-H427,IF(C427="","",Assumptions!$D$5-(C427+Assumptions!$B$8))))</f>
        <v/>
      </c>
      <c r="L427" s="5" t="str">
        <f aca="false">IF(K427="","",IF(K427&lt;0,"Phase 1 (unliquidated)",IF(K427&lt;=Assumptions!$B$7,"Phase 1 (recently liquidated)",IF(K427&lt;=Assumptions!$B$6,"Protest required","Deadline passed — litigation only"))))</f>
        <v/>
      </c>
      <c r="M427" s="20" t="str">
        <f aca="false">IF(K427="","",IF(H427&lt;&gt;"",H427+Assumptions!$B$6,C427+Assumptions!$B$8+Assumptions!$B$6))</f>
        <v/>
      </c>
      <c r="N427" s="20" t="str">
        <f aca="false">IF(K427="","",IF(K427&lt;0,IF(H427&lt;&gt;"",H427+Assumptions!$B$7,C427+Assumptions!$B$8+Assumptions!$B$7),M427))</f>
        <v/>
      </c>
      <c r="O427" s="21" t="str">
        <f aca="false">IF(N427="","",N427-Assumptions!$D$5)</f>
        <v/>
      </c>
      <c r="P427" s="22"/>
      <c r="Q427" s="22"/>
      <c r="R427" s="18" t="str">
        <f aca="false">IF(Q427="","",Q427*IF(LEFT(L427,7)="Phase 1",Assumptions!$B$11,Assumptions!$B$12))</f>
        <v/>
      </c>
    </row>
    <row r="428" customFormat="false" ht="15" hidden="false" customHeight="true" outlineLevel="0" collapsed="false">
      <c r="C428" s="24"/>
      <c r="F428" s="22"/>
      <c r="G428" s="23"/>
      <c r="H428" s="24"/>
      <c r="J428" s="18" t="str">
        <f aca="false">IF(F428="","",F428*G428)</f>
        <v/>
      </c>
      <c r="K428" s="5" t="str">
        <f aca="false">IF(A428="","",IF(H428&lt;&gt;"",Assumptions!$D$5-H428,IF(C428="","",Assumptions!$D$5-(C428+Assumptions!$B$8))))</f>
        <v/>
      </c>
      <c r="L428" s="5" t="str">
        <f aca="false">IF(K428="","",IF(K428&lt;0,"Phase 1 (unliquidated)",IF(K428&lt;=Assumptions!$B$7,"Phase 1 (recently liquidated)",IF(K428&lt;=Assumptions!$B$6,"Protest required","Deadline passed — litigation only"))))</f>
        <v/>
      </c>
      <c r="M428" s="20" t="str">
        <f aca="false">IF(K428="","",IF(H428&lt;&gt;"",H428+Assumptions!$B$6,C428+Assumptions!$B$8+Assumptions!$B$6))</f>
        <v/>
      </c>
      <c r="N428" s="20" t="str">
        <f aca="false">IF(K428="","",IF(K428&lt;0,IF(H428&lt;&gt;"",H428+Assumptions!$B$7,C428+Assumptions!$B$8+Assumptions!$B$7),M428))</f>
        <v/>
      </c>
      <c r="O428" s="21" t="str">
        <f aca="false">IF(N428="","",N428-Assumptions!$D$5)</f>
        <v/>
      </c>
      <c r="P428" s="22"/>
      <c r="Q428" s="22"/>
      <c r="R428" s="18" t="str">
        <f aca="false">IF(Q428="","",Q428*IF(LEFT(L428,7)="Phase 1",Assumptions!$B$11,Assumptions!$B$12))</f>
        <v/>
      </c>
    </row>
    <row r="429" customFormat="false" ht="15" hidden="false" customHeight="true" outlineLevel="0" collapsed="false">
      <c r="C429" s="24"/>
      <c r="F429" s="22"/>
      <c r="G429" s="23"/>
      <c r="H429" s="24"/>
      <c r="J429" s="18" t="str">
        <f aca="false">IF(F429="","",F429*G429)</f>
        <v/>
      </c>
      <c r="K429" s="5" t="str">
        <f aca="false">IF(A429="","",IF(H429&lt;&gt;"",Assumptions!$D$5-H429,IF(C429="","",Assumptions!$D$5-(C429+Assumptions!$B$8))))</f>
        <v/>
      </c>
      <c r="L429" s="5" t="str">
        <f aca="false">IF(K429="","",IF(K429&lt;0,"Phase 1 (unliquidated)",IF(K429&lt;=Assumptions!$B$7,"Phase 1 (recently liquidated)",IF(K429&lt;=Assumptions!$B$6,"Protest required","Deadline passed — litigation only"))))</f>
        <v/>
      </c>
      <c r="M429" s="20" t="str">
        <f aca="false">IF(K429="","",IF(H429&lt;&gt;"",H429+Assumptions!$B$6,C429+Assumptions!$B$8+Assumptions!$B$6))</f>
        <v/>
      </c>
      <c r="N429" s="20" t="str">
        <f aca="false">IF(K429="","",IF(K429&lt;0,IF(H429&lt;&gt;"",H429+Assumptions!$B$7,C429+Assumptions!$B$8+Assumptions!$B$7),M429))</f>
        <v/>
      </c>
      <c r="O429" s="21" t="str">
        <f aca="false">IF(N429="","",N429-Assumptions!$D$5)</f>
        <v/>
      </c>
      <c r="P429" s="22"/>
      <c r="Q429" s="22"/>
      <c r="R429" s="18" t="str">
        <f aca="false">IF(Q429="","",Q429*IF(LEFT(L429,7)="Phase 1",Assumptions!$B$11,Assumptions!$B$12))</f>
        <v/>
      </c>
    </row>
    <row r="430" customFormat="false" ht="15" hidden="false" customHeight="true" outlineLevel="0" collapsed="false">
      <c r="C430" s="24"/>
      <c r="F430" s="22"/>
      <c r="G430" s="23"/>
      <c r="H430" s="24"/>
      <c r="J430" s="18" t="str">
        <f aca="false">IF(F430="","",F430*G430)</f>
        <v/>
      </c>
      <c r="K430" s="5" t="str">
        <f aca="false">IF(A430="","",IF(H430&lt;&gt;"",Assumptions!$D$5-H430,IF(C430="","",Assumptions!$D$5-(C430+Assumptions!$B$8))))</f>
        <v/>
      </c>
      <c r="L430" s="5" t="str">
        <f aca="false">IF(K430="","",IF(K430&lt;0,"Phase 1 (unliquidated)",IF(K430&lt;=Assumptions!$B$7,"Phase 1 (recently liquidated)",IF(K430&lt;=Assumptions!$B$6,"Protest required","Deadline passed — litigation only"))))</f>
        <v/>
      </c>
      <c r="M430" s="20" t="str">
        <f aca="false">IF(K430="","",IF(H430&lt;&gt;"",H430+Assumptions!$B$6,C430+Assumptions!$B$8+Assumptions!$B$6))</f>
        <v/>
      </c>
      <c r="N430" s="20" t="str">
        <f aca="false">IF(K430="","",IF(K430&lt;0,IF(H430&lt;&gt;"",H430+Assumptions!$B$7,C430+Assumptions!$B$8+Assumptions!$B$7),M430))</f>
        <v/>
      </c>
      <c r="O430" s="21" t="str">
        <f aca="false">IF(N430="","",N430-Assumptions!$D$5)</f>
        <v/>
      </c>
      <c r="P430" s="22"/>
      <c r="Q430" s="22"/>
      <c r="R430" s="18" t="str">
        <f aca="false">IF(Q430="","",Q430*IF(LEFT(L430,7)="Phase 1",Assumptions!$B$11,Assumptions!$B$12))</f>
        <v/>
      </c>
    </row>
    <row r="431" customFormat="false" ht="15" hidden="false" customHeight="true" outlineLevel="0" collapsed="false">
      <c r="C431" s="24"/>
      <c r="F431" s="22"/>
      <c r="G431" s="23"/>
      <c r="H431" s="24"/>
      <c r="J431" s="18" t="str">
        <f aca="false">IF(F431="","",F431*G431)</f>
        <v/>
      </c>
      <c r="K431" s="5" t="str">
        <f aca="false">IF(A431="","",IF(H431&lt;&gt;"",Assumptions!$D$5-H431,IF(C431="","",Assumptions!$D$5-(C431+Assumptions!$B$8))))</f>
        <v/>
      </c>
      <c r="L431" s="5" t="str">
        <f aca="false">IF(K431="","",IF(K431&lt;0,"Phase 1 (unliquidated)",IF(K431&lt;=Assumptions!$B$7,"Phase 1 (recently liquidated)",IF(K431&lt;=Assumptions!$B$6,"Protest required","Deadline passed — litigation only"))))</f>
        <v/>
      </c>
      <c r="M431" s="20" t="str">
        <f aca="false">IF(K431="","",IF(H431&lt;&gt;"",H431+Assumptions!$B$6,C431+Assumptions!$B$8+Assumptions!$B$6))</f>
        <v/>
      </c>
      <c r="N431" s="20" t="str">
        <f aca="false">IF(K431="","",IF(K431&lt;0,IF(H431&lt;&gt;"",H431+Assumptions!$B$7,C431+Assumptions!$B$8+Assumptions!$B$7),M431))</f>
        <v/>
      </c>
      <c r="O431" s="21" t="str">
        <f aca="false">IF(N431="","",N431-Assumptions!$D$5)</f>
        <v/>
      </c>
      <c r="P431" s="22"/>
      <c r="Q431" s="22"/>
      <c r="R431" s="18" t="str">
        <f aca="false">IF(Q431="","",Q431*IF(LEFT(L431,7)="Phase 1",Assumptions!$B$11,Assumptions!$B$12))</f>
        <v/>
      </c>
    </row>
    <row r="432" customFormat="false" ht="15" hidden="false" customHeight="true" outlineLevel="0" collapsed="false">
      <c r="C432" s="24"/>
      <c r="F432" s="22"/>
      <c r="G432" s="23"/>
      <c r="H432" s="24"/>
      <c r="J432" s="18" t="str">
        <f aca="false">IF(F432="","",F432*G432)</f>
        <v/>
      </c>
      <c r="K432" s="5" t="str">
        <f aca="false">IF(A432="","",IF(H432&lt;&gt;"",Assumptions!$D$5-H432,IF(C432="","",Assumptions!$D$5-(C432+Assumptions!$B$8))))</f>
        <v/>
      </c>
      <c r="L432" s="5" t="str">
        <f aca="false">IF(K432="","",IF(K432&lt;0,"Phase 1 (unliquidated)",IF(K432&lt;=Assumptions!$B$7,"Phase 1 (recently liquidated)",IF(K432&lt;=Assumptions!$B$6,"Protest required","Deadline passed — litigation only"))))</f>
        <v/>
      </c>
      <c r="M432" s="20" t="str">
        <f aca="false">IF(K432="","",IF(H432&lt;&gt;"",H432+Assumptions!$B$6,C432+Assumptions!$B$8+Assumptions!$B$6))</f>
        <v/>
      </c>
      <c r="N432" s="20" t="str">
        <f aca="false">IF(K432="","",IF(K432&lt;0,IF(H432&lt;&gt;"",H432+Assumptions!$B$7,C432+Assumptions!$B$8+Assumptions!$B$7),M432))</f>
        <v/>
      </c>
      <c r="O432" s="21" t="str">
        <f aca="false">IF(N432="","",N432-Assumptions!$D$5)</f>
        <v/>
      </c>
      <c r="P432" s="22"/>
      <c r="Q432" s="22"/>
      <c r="R432" s="18" t="str">
        <f aca="false">IF(Q432="","",Q432*IF(LEFT(L432,7)="Phase 1",Assumptions!$B$11,Assumptions!$B$12))</f>
        <v/>
      </c>
    </row>
    <row r="433" customFormat="false" ht="15" hidden="false" customHeight="true" outlineLevel="0" collapsed="false">
      <c r="C433" s="24"/>
      <c r="F433" s="22"/>
      <c r="G433" s="23"/>
      <c r="H433" s="24"/>
      <c r="J433" s="18" t="str">
        <f aca="false">IF(F433="","",F433*G433)</f>
        <v/>
      </c>
      <c r="K433" s="5" t="str">
        <f aca="false">IF(A433="","",IF(H433&lt;&gt;"",Assumptions!$D$5-H433,IF(C433="","",Assumptions!$D$5-(C433+Assumptions!$B$8))))</f>
        <v/>
      </c>
      <c r="L433" s="5" t="str">
        <f aca="false">IF(K433="","",IF(K433&lt;0,"Phase 1 (unliquidated)",IF(K433&lt;=Assumptions!$B$7,"Phase 1 (recently liquidated)",IF(K433&lt;=Assumptions!$B$6,"Protest required","Deadline passed — litigation only"))))</f>
        <v/>
      </c>
      <c r="M433" s="20" t="str">
        <f aca="false">IF(K433="","",IF(H433&lt;&gt;"",H433+Assumptions!$B$6,C433+Assumptions!$B$8+Assumptions!$B$6))</f>
        <v/>
      </c>
      <c r="N433" s="20" t="str">
        <f aca="false">IF(K433="","",IF(K433&lt;0,IF(H433&lt;&gt;"",H433+Assumptions!$B$7,C433+Assumptions!$B$8+Assumptions!$B$7),M433))</f>
        <v/>
      </c>
      <c r="O433" s="21" t="str">
        <f aca="false">IF(N433="","",N433-Assumptions!$D$5)</f>
        <v/>
      </c>
      <c r="P433" s="22"/>
      <c r="Q433" s="22"/>
      <c r="R433" s="18" t="str">
        <f aca="false">IF(Q433="","",Q433*IF(LEFT(L433,7)="Phase 1",Assumptions!$B$11,Assumptions!$B$12))</f>
        <v/>
      </c>
    </row>
    <row r="434" customFormat="false" ht="15" hidden="false" customHeight="true" outlineLevel="0" collapsed="false">
      <c r="C434" s="24"/>
      <c r="F434" s="22"/>
      <c r="G434" s="23"/>
      <c r="H434" s="24"/>
      <c r="J434" s="18" t="str">
        <f aca="false">IF(F434="","",F434*G434)</f>
        <v/>
      </c>
      <c r="K434" s="5" t="str">
        <f aca="false">IF(A434="","",IF(H434&lt;&gt;"",Assumptions!$D$5-H434,IF(C434="","",Assumptions!$D$5-(C434+Assumptions!$B$8))))</f>
        <v/>
      </c>
      <c r="L434" s="5" t="str">
        <f aca="false">IF(K434="","",IF(K434&lt;0,"Phase 1 (unliquidated)",IF(K434&lt;=Assumptions!$B$7,"Phase 1 (recently liquidated)",IF(K434&lt;=Assumptions!$B$6,"Protest required","Deadline passed — litigation only"))))</f>
        <v/>
      </c>
      <c r="M434" s="20" t="str">
        <f aca="false">IF(K434="","",IF(H434&lt;&gt;"",H434+Assumptions!$B$6,C434+Assumptions!$B$8+Assumptions!$B$6))</f>
        <v/>
      </c>
      <c r="N434" s="20" t="str">
        <f aca="false">IF(K434="","",IF(K434&lt;0,IF(H434&lt;&gt;"",H434+Assumptions!$B$7,C434+Assumptions!$B$8+Assumptions!$B$7),M434))</f>
        <v/>
      </c>
      <c r="O434" s="21" t="str">
        <f aca="false">IF(N434="","",N434-Assumptions!$D$5)</f>
        <v/>
      </c>
      <c r="P434" s="22"/>
      <c r="Q434" s="22"/>
      <c r="R434" s="18" t="str">
        <f aca="false">IF(Q434="","",Q434*IF(LEFT(L434,7)="Phase 1",Assumptions!$B$11,Assumptions!$B$12))</f>
        <v/>
      </c>
    </row>
    <row r="435" customFormat="false" ht="15" hidden="false" customHeight="true" outlineLevel="0" collapsed="false">
      <c r="C435" s="24"/>
      <c r="F435" s="22"/>
      <c r="G435" s="23"/>
      <c r="H435" s="24"/>
      <c r="J435" s="18" t="str">
        <f aca="false">IF(F435="","",F435*G435)</f>
        <v/>
      </c>
      <c r="K435" s="5" t="str">
        <f aca="false">IF(A435="","",IF(H435&lt;&gt;"",Assumptions!$D$5-H435,IF(C435="","",Assumptions!$D$5-(C435+Assumptions!$B$8))))</f>
        <v/>
      </c>
      <c r="L435" s="5" t="str">
        <f aca="false">IF(K435="","",IF(K435&lt;0,"Phase 1 (unliquidated)",IF(K435&lt;=Assumptions!$B$7,"Phase 1 (recently liquidated)",IF(K435&lt;=Assumptions!$B$6,"Protest required","Deadline passed — litigation only"))))</f>
        <v/>
      </c>
      <c r="M435" s="20" t="str">
        <f aca="false">IF(K435="","",IF(H435&lt;&gt;"",H435+Assumptions!$B$6,C435+Assumptions!$B$8+Assumptions!$B$6))</f>
        <v/>
      </c>
      <c r="N435" s="20" t="str">
        <f aca="false">IF(K435="","",IF(K435&lt;0,IF(H435&lt;&gt;"",H435+Assumptions!$B$7,C435+Assumptions!$B$8+Assumptions!$B$7),M435))</f>
        <v/>
      </c>
      <c r="O435" s="21" t="str">
        <f aca="false">IF(N435="","",N435-Assumptions!$D$5)</f>
        <v/>
      </c>
      <c r="P435" s="22"/>
      <c r="Q435" s="22"/>
      <c r="R435" s="18" t="str">
        <f aca="false">IF(Q435="","",Q435*IF(LEFT(L435,7)="Phase 1",Assumptions!$B$11,Assumptions!$B$12))</f>
        <v/>
      </c>
    </row>
    <row r="436" customFormat="false" ht="15" hidden="false" customHeight="true" outlineLevel="0" collapsed="false">
      <c r="C436" s="24"/>
      <c r="F436" s="22"/>
      <c r="G436" s="23"/>
      <c r="H436" s="24"/>
      <c r="J436" s="18" t="str">
        <f aca="false">IF(F436="","",F436*G436)</f>
        <v/>
      </c>
      <c r="K436" s="5" t="str">
        <f aca="false">IF(A436="","",IF(H436&lt;&gt;"",Assumptions!$D$5-H436,IF(C436="","",Assumptions!$D$5-(C436+Assumptions!$B$8))))</f>
        <v/>
      </c>
      <c r="L436" s="5" t="str">
        <f aca="false">IF(K436="","",IF(K436&lt;0,"Phase 1 (unliquidated)",IF(K436&lt;=Assumptions!$B$7,"Phase 1 (recently liquidated)",IF(K436&lt;=Assumptions!$B$6,"Protest required","Deadline passed — litigation only"))))</f>
        <v/>
      </c>
      <c r="M436" s="20" t="str">
        <f aca="false">IF(K436="","",IF(H436&lt;&gt;"",H436+Assumptions!$B$6,C436+Assumptions!$B$8+Assumptions!$B$6))</f>
        <v/>
      </c>
      <c r="N436" s="20" t="str">
        <f aca="false">IF(K436="","",IF(K436&lt;0,IF(H436&lt;&gt;"",H436+Assumptions!$B$7,C436+Assumptions!$B$8+Assumptions!$B$7),M436))</f>
        <v/>
      </c>
      <c r="O436" s="21" t="str">
        <f aca="false">IF(N436="","",N436-Assumptions!$D$5)</f>
        <v/>
      </c>
      <c r="P436" s="22"/>
      <c r="Q436" s="22"/>
      <c r="R436" s="18" t="str">
        <f aca="false">IF(Q436="","",Q436*IF(LEFT(L436,7)="Phase 1",Assumptions!$B$11,Assumptions!$B$12))</f>
        <v/>
      </c>
    </row>
    <row r="437" customFormat="false" ht="15" hidden="false" customHeight="true" outlineLevel="0" collapsed="false">
      <c r="C437" s="24"/>
      <c r="F437" s="22"/>
      <c r="G437" s="23"/>
      <c r="H437" s="24"/>
      <c r="J437" s="18" t="str">
        <f aca="false">IF(F437="","",F437*G437)</f>
        <v/>
      </c>
      <c r="K437" s="5" t="str">
        <f aca="false">IF(A437="","",IF(H437&lt;&gt;"",Assumptions!$D$5-H437,IF(C437="","",Assumptions!$D$5-(C437+Assumptions!$B$8))))</f>
        <v/>
      </c>
      <c r="L437" s="5" t="str">
        <f aca="false">IF(K437="","",IF(K437&lt;0,"Phase 1 (unliquidated)",IF(K437&lt;=Assumptions!$B$7,"Phase 1 (recently liquidated)",IF(K437&lt;=Assumptions!$B$6,"Protest required","Deadline passed — litigation only"))))</f>
        <v/>
      </c>
      <c r="M437" s="20" t="str">
        <f aca="false">IF(K437="","",IF(H437&lt;&gt;"",H437+Assumptions!$B$6,C437+Assumptions!$B$8+Assumptions!$B$6))</f>
        <v/>
      </c>
      <c r="N437" s="20" t="str">
        <f aca="false">IF(K437="","",IF(K437&lt;0,IF(H437&lt;&gt;"",H437+Assumptions!$B$7,C437+Assumptions!$B$8+Assumptions!$B$7),M437))</f>
        <v/>
      </c>
      <c r="O437" s="21" t="str">
        <f aca="false">IF(N437="","",N437-Assumptions!$D$5)</f>
        <v/>
      </c>
      <c r="P437" s="22"/>
      <c r="Q437" s="22"/>
      <c r="R437" s="18" t="str">
        <f aca="false">IF(Q437="","",Q437*IF(LEFT(L437,7)="Phase 1",Assumptions!$B$11,Assumptions!$B$12))</f>
        <v/>
      </c>
    </row>
    <row r="438" customFormat="false" ht="15" hidden="false" customHeight="true" outlineLevel="0" collapsed="false">
      <c r="C438" s="24"/>
      <c r="F438" s="22"/>
      <c r="G438" s="23"/>
      <c r="H438" s="24"/>
      <c r="J438" s="18" t="str">
        <f aca="false">IF(F438="","",F438*G438)</f>
        <v/>
      </c>
      <c r="K438" s="5" t="str">
        <f aca="false">IF(A438="","",IF(H438&lt;&gt;"",Assumptions!$D$5-H438,IF(C438="","",Assumptions!$D$5-(C438+Assumptions!$B$8))))</f>
        <v/>
      </c>
      <c r="L438" s="5" t="str">
        <f aca="false">IF(K438="","",IF(K438&lt;0,"Phase 1 (unliquidated)",IF(K438&lt;=Assumptions!$B$7,"Phase 1 (recently liquidated)",IF(K438&lt;=Assumptions!$B$6,"Protest required","Deadline passed — litigation only"))))</f>
        <v/>
      </c>
      <c r="M438" s="20" t="str">
        <f aca="false">IF(K438="","",IF(H438&lt;&gt;"",H438+Assumptions!$B$6,C438+Assumptions!$B$8+Assumptions!$B$6))</f>
        <v/>
      </c>
      <c r="N438" s="20" t="str">
        <f aca="false">IF(K438="","",IF(K438&lt;0,IF(H438&lt;&gt;"",H438+Assumptions!$B$7,C438+Assumptions!$B$8+Assumptions!$B$7),M438))</f>
        <v/>
      </c>
      <c r="O438" s="21" t="str">
        <f aca="false">IF(N438="","",N438-Assumptions!$D$5)</f>
        <v/>
      </c>
      <c r="P438" s="22"/>
      <c r="Q438" s="22"/>
      <c r="R438" s="18" t="str">
        <f aca="false">IF(Q438="","",Q438*IF(LEFT(L438,7)="Phase 1",Assumptions!$B$11,Assumptions!$B$12))</f>
        <v/>
      </c>
    </row>
    <row r="439" customFormat="false" ht="15" hidden="false" customHeight="true" outlineLevel="0" collapsed="false">
      <c r="C439" s="24"/>
      <c r="F439" s="22"/>
      <c r="G439" s="23"/>
      <c r="H439" s="24"/>
      <c r="J439" s="18" t="str">
        <f aca="false">IF(F439="","",F439*G439)</f>
        <v/>
      </c>
      <c r="K439" s="5" t="str">
        <f aca="false">IF(A439="","",IF(H439&lt;&gt;"",Assumptions!$D$5-H439,IF(C439="","",Assumptions!$D$5-(C439+Assumptions!$B$8))))</f>
        <v/>
      </c>
      <c r="L439" s="5" t="str">
        <f aca="false">IF(K439="","",IF(K439&lt;0,"Phase 1 (unliquidated)",IF(K439&lt;=Assumptions!$B$7,"Phase 1 (recently liquidated)",IF(K439&lt;=Assumptions!$B$6,"Protest required","Deadline passed — litigation only"))))</f>
        <v/>
      </c>
      <c r="M439" s="20" t="str">
        <f aca="false">IF(K439="","",IF(H439&lt;&gt;"",H439+Assumptions!$B$6,C439+Assumptions!$B$8+Assumptions!$B$6))</f>
        <v/>
      </c>
      <c r="N439" s="20" t="str">
        <f aca="false">IF(K439="","",IF(K439&lt;0,IF(H439&lt;&gt;"",H439+Assumptions!$B$7,C439+Assumptions!$B$8+Assumptions!$B$7),M439))</f>
        <v/>
      </c>
      <c r="O439" s="21" t="str">
        <f aca="false">IF(N439="","",N439-Assumptions!$D$5)</f>
        <v/>
      </c>
      <c r="P439" s="22"/>
      <c r="Q439" s="22"/>
      <c r="R439" s="18" t="str">
        <f aca="false">IF(Q439="","",Q439*IF(LEFT(L439,7)="Phase 1",Assumptions!$B$11,Assumptions!$B$12))</f>
        <v/>
      </c>
    </row>
    <row r="440" customFormat="false" ht="15" hidden="false" customHeight="true" outlineLevel="0" collapsed="false">
      <c r="C440" s="24"/>
      <c r="F440" s="22"/>
      <c r="G440" s="23"/>
      <c r="H440" s="24"/>
      <c r="J440" s="18" t="str">
        <f aca="false">IF(F440="","",F440*G440)</f>
        <v/>
      </c>
      <c r="K440" s="5" t="str">
        <f aca="false">IF(A440="","",IF(H440&lt;&gt;"",Assumptions!$D$5-H440,IF(C440="","",Assumptions!$D$5-(C440+Assumptions!$B$8))))</f>
        <v/>
      </c>
      <c r="L440" s="5" t="str">
        <f aca="false">IF(K440="","",IF(K440&lt;0,"Phase 1 (unliquidated)",IF(K440&lt;=Assumptions!$B$7,"Phase 1 (recently liquidated)",IF(K440&lt;=Assumptions!$B$6,"Protest required","Deadline passed — litigation only"))))</f>
        <v/>
      </c>
      <c r="M440" s="20" t="str">
        <f aca="false">IF(K440="","",IF(H440&lt;&gt;"",H440+Assumptions!$B$6,C440+Assumptions!$B$8+Assumptions!$B$6))</f>
        <v/>
      </c>
      <c r="N440" s="20" t="str">
        <f aca="false">IF(K440="","",IF(K440&lt;0,IF(H440&lt;&gt;"",H440+Assumptions!$B$7,C440+Assumptions!$B$8+Assumptions!$B$7),M440))</f>
        <v/>
      </c>
      <c r="O440" s="21" t="str">
        <f aca="false">IF(N440="","",N440-Assumptions!$D$5)</f>
        <v/>
      </c>
      <c r="P440" s="22"/>
      <c r="Q440" s="22"/>
      <c r="R440" s="18" t="str">
        <f aca="false">IF(Q440="","",Q440*IF(LEFT(L440,7)="Phase 1",Assumptions!$B$11,Assumptions!$B$12))</f>
        <v/>
      </c>
    </row>
    <row r="441" customFormat="false" ht="15" hidden="false" customHeight="true" outlineLevel="0" collapsed="false">
      <c r="C441" s="24"/>
      <c r="F441" s="22"/>
      <c r="G441" s="23"/>
      <c r="H441" s="24"/>
      <c r="J441" s="18" t="str">
        <f aca="false">IF(F441="","",F441*G441)</f>
        <v/>
      </c>
      <c r="K441" s="5" t="str">
        <f aca="false">IF(A441="","",IF(H441&lt;&gt;"",Assumptions!$D$5-H441,IF(C441="","",Assumptions!$D$5-(C441+Assumptions!$B$8))))</f>
        <v/>
      </c>
      <c r="L441" s="5" t="str">
        <f aca="false">IF(K441="","",IF(K441&lt;0,"Phase 1 (unliquidated)",IF(K441&lt;=Assumptions!$B$7,"Phase 1 (recently liquidated)",IF(K441&lt;=Assumptions!$B$6,"Protest required","Deadline passed — litigation only"))))</f>
        <v/>
      </c>
      <c r="M441" s="20" t="str">
        <f aca="false">IF(K441="","",IF(H441&lt;&gt;"",H441+Assumptions!$B$6,C441+Assumptions!$B$8+Assumptions!$B$6))</f>
        <v/>
      </c>
      <c r="N441" s="20" t="str">
        <f aca="false">IF(K441="","",IF(K441&lt;0,IF(H441&lt;&gt;"",H441+Assumptions!$B$7,C441+Assumptions!$B$8+Assumptions!$B$7),M441))</f>
        <v/>
      </c>
      <c r="O441" s="21" t="str">
        <f aca="false">IF(N441="","",N441-Assumptions!$D$5)</f>
        <v/>
      </c>
      <c r="P441" s="22"/>
      <c r="Q441" s="22"/>
      <c r="R441" s="18" t="str">
        <f aca="false">IF(Q441="","",Q441*IF(LEFT(L441,7)="Phase 1",Assumptions!$B$11,Assumptions!$B$12))</f>
        <v/>
      </c>
    </row>
    <row r="442" customFormat="false" ht="15" hidden="false" customHeight="true" outlineLevel="0" collapsed="false">
      <c r="C442" s="24"/>
      <c r="F442" s="22"/>
      <c r="G442" s="23"/>
      <c r="H442" s="24"/>
      <c r="J442" s="18" t="str">
        <f aca="false">IF(F442="","",F442*G442)</f>
        <v/>
      </c>
      <c r="K442" s="5" t="str">
        <f aca="false">IF(A442="","",IF(H442&lt;&gt;"",Assumptions!$D$5-H442,IF(C442="","",Assumptions!$D$5-(C442+Assumptions!$B$8))))</f>
        <v/>
      </c>
      <c r="L442" s="5" t="str">
        <f aca="false">IF(K442="","",IF(K442&lt;0,"Phase 1 (unliquidated)",IF(K442&lt;=Assumptions!$B$7,"Phase 1 (recently liquidated)",IF(K442&lt;=Assumptions!$B$6,"Protest required","Deadline passed — litigation only"))))</f>
        <v/>
      </c>
      <c r="M442" s="20" t="str">
        <f aca="false">IF(K442="","",IF(H442&lt;&gt;"",H442+Assumptions!$B$6,C442+Assumptions!$B$8+Assumptions!$B$6))</f>
        <v/>
      </c>
      <c r="N442" s="20" t="str">
        <f aca="false">IF(K442="","",IF(K442&lt;0,IF(H442&lt;&gt;"",H442+Assumptions!$B$7,C442+Assumptions!$B$8+Assumptions!$B$7),M442))</f>
        <v/>
      </c>
      <c r="O442" s="21" t="str">
        <f aca="false">IF(N442="","",N442-Assumptions!$D$5)</f>
        <v/>
      </c>
      <c r="P442" s="22"/>
      <c r="Q442" s="22"/>
      <c r="R442" s="18" t="str">
        <f aca="false">IF(Q442="","",Q442*IF(LEFT(L442,7)="Phase 1",Assumptions!$B$11,Assumptions!$B$12))</f>
        <v/>
      </c>
    </row>
    <row r="443" customFormat="false" ht="15" hidden="false" customHeight="true" outlineLevel="0" collapsed="false">
      <c r="C443" s="24"/>
      <c r="F443" s="22"/>
      <c r="G443" s="23"/>
      <c r="H443" s="24"/>
      <c r="J443" s="18" t="str">
        <f aca="false">IF(F443="","",F443*G443)</f>
        <v/>
      </c>
      <c r="K443" s="5" t="str">
        <f aca="false">IF(A443="","",IF(H443&lt;&gt;"",Assumptions!$D$5-H443,IF(C443="","",Assumptions!$D$5-(C443+Assumptions!$B$8))))</f>
        <v/>
      </c>
      <c r="L443" s="5" t="str">
        <f aca="false">IF(K443="","",IF(K443&lt;0,"Phase 1 (unliquidated)",IF(K443&lt;=Assumptions!$B$7,"Phase 1 (recently liquidated)",IF(K443&lt;=Assumptions!$B$6,"Protest required","Deadline passed — litigation only"))))</f>
        <v/>
      </c>
      <c r="M443" s="20" t="str">
        <f aca="false">IF(K443="","",IF(H443&lt;&gt;"",H443+Assumptions!$B$6,C443+Assumptions!$B$8+Assumptions!$B$6))</f>
        <v/>
      </c>
      <c r="N443" s="20" t="str">
        <f aca="false">IF(K443="","",IF(K443&lt;0,IF(H443&lt;&gt;"",H443+Assumptions!$B$7,C443+Assumptions!$B$8+Assumptions!$B$7),M443))</f>
        <v/>
      </c>
      <c r="O443" s="21" t="str">
        <f aca="false">IF(N443="","",N443-Assumptions!$D$5)</f>
        <v/>
      </c>
      <c r="P443" s="22"/>
      <c r="Q443" s="22"/>
      <c r="R443" s="18" t="str">
        <f aca="false">IF(Q443="","",Q443*IF(LEFT(L443,7)="Phase 1",Assumptions!$B$11,Assumptions!$B$12))</f>
        <v/>
      </c>
    </row>
    <row r="444" customFormat="false" ht="15" hidden="false" customHeight="true" outlineLevel="0" collapsed="false">
      <c r="C444" s="24"/>
      <c r="F444" s="22"/>
      <c r="G444" s="23"/>
      <c r="H444" s="24"/>
      <c r="J444" s="18" t="str">
        <f aca="false">IF(F444="","",F444*G444)</f>
        <v/>
      </c>
      <c r="K444" s="5" t="str">
        <f aca="false">IF(A444="","",IF(H444&lt;&gt;"",Assumptions!$D$5-H444,IF(C444="","",Assumptions!$D$5-(C444+Assumptions!$B$8))))</f>
        <v/>
      </c>
      <c r="L444" s="5" t="str">
        <f aca="false">IF(K444="","",IF(K444&lt;0,"Phase 1 (unliquidated)",IF(K444&lt;=Assumptions!$B$7,"Phase 1 (recently liquidated)",IF(K444&lt;=Assumptions!$B$6,"Protest required","Deadline passed — litigation only"))))</f>
        <v/>
      </c>
      <c r="M444" s="20" t="str">
        <f aca="false">IF(K444="","",IF(H444&lt;&gt;"",H444+Assumptions!$B$6,C444+Assumptions!$B$8+Assumptions!$B$6))</f>
        <v/>
      </c>
      <c r="N444" s="20" t="str">
        <f aca="false">IF(K444="","",IF(K444&lt;0,IF(H444&lt;&gt;"",H444+Assumptions!$B$7,C444+Assumptions!$B$8+Assumptions!$B$7),M444))</f>
        <v/>
      </c>
      <c r="O444" s="21" t="str">
        <f aca="false">IF(N444="","",N444-Assumptions!$D$5)</f>
        <v/>
      </c>
      <c r="P444" s="22"/>
      <c r="Q444" s="22"/>
      <c r="R444" s="18" t="str">
        <f aca="false">IF(Q444="","",Q444*IF(LEFT(L444,7)="Phase 1",Assumptions!$B$11,Assumptions!$B$12))</f>
        <v/>
      </c>
    </row>
    <row r="445" customFormat="false" ht="15" hidden="false" customHeight="true" outlineLevel="0" collapsed="false">
      <c r="C445" s="24"/>
      <c r="F445" s="22"/>
      <c r="G445" s="23"/>
      <c r="H445" s="24"/>
      <c r="J445" s="18" t="str">
        <f aca="false">IF(F445="","",F445*G445)</f>
        <v/>
      </c>
      <c r="K445" s="5" t="str">
        <f aca="false">IF(A445="","",IF(H445&lt;&gt;"",Assumptions!$D$5-H445,IF(C445="","",Assumptions!$D$5-(C445+Assumptions!$B$8))))</f>
        <v/>
      </c>
      <c r="L445" s="5" t="str">
        <f aca="false">IF(K445="","",IF(K445&lt;0,"Phase 1 (unliquidated)",IF(K445&lt;=Assumptions!$B$7,"Phase 1 (recently liquidated)",IF(K445&lt;=Assumptions!$B$6,"Protest required","Deadline passed — litigation only"))))</f>
        <v/>
      </c>
      <c r="M445" s="20" t="str">
        <f aca="false">IF(K445="","",IF(H445&lt;&gt;"",H445+Assumptions!$B$6,C445+Assumptions!$B$8+Assumptions!$B$6))</f>
        <v/>
      </c>
      <c r="N445" s="20" t="str">
        <f aca="false">IF(K445="","",IF(K445&lt;0,IF(H445&lt;&gt;"",H445+Assumptions!$B$7,C445+Assumptions!$B$8+Assumptions!$B$7),M445))</f>
        <v/>
      </c>
      <c r="O445" s="21" t="str">
        <f aca="false">IF(N445="","",N445-Assumptions!$D$5)</f>
        <v/>
      </c>
      <c r="P445" s="22"/>
      <c r="Q445" s="22"/>
      <c r="R445" s="18" t="str">
        <f aca="false">IF(Q445="","",Q445*IF(LEFT(L445,7)="Phase 1",Assumptions!$B$11,Assumptions!$B$12))</f>
        <v/>
      </c>
    </row>
    <row r="446" customFormat="false" ht="15" hidden="false" customHeight="true" outlineLevel="0" collapsed="false">
      <c r="C446" s="24"/>
      <c r="F446" s="22"/>
      <c r="G446" s="23"/>
      <c r="H446" s="24"/>
      <c r="J446" s="18" t="str">
        <f aca="false">IF(F446="","",F446*G446)</f>
        <v/>
      </c>
      <c r="K446" s="5" t="str">
        <f aca="false">IF(A446="","",IF(H446&lt;&gt;"",Assumptions!$D$5-H446,IF(C446="","",Assumptions!$D$5-(C446+Assumptions!$B$8))))</f>
        <v/>
      </c>
      <c r="L446" s="5" t="str">
        <f aca="false">IF(K446="","",IF(K446&lt;0,"Phase 1 (unliquidated)",IF(K446&lt;=Assumptions!$B$7,"Phase 1 (recently liquidated)",IF(K446&lt;=Assumptions!$B$6,"Protest required","Deadline passed — litigation only"))))</f>
        <v/>
      </c>
      <c r="M446" s="20" t="str">
        <f aca="false">IF(K446="","",IF(H446&lt;&gt;"",H446+Assumptions!$B$6,C446+Assumptions!$B$8+Assumptions!$B$6))</f>
        <v/>
      </c>
      <c r="N446" s="20" t="str">
        <f aca="false">IF(K446="","",IF(K446&lt;0,IF(H446&lt;&gt;"",H446+Assumptions!$B$7,C446+Assumptions!$B$8+Assumptions!$B$7),M446))</f>
        <v/>
      </c>
      <c r="O446" s="21" t="str">
        <f aca="false">IF(N446="","",N446-Assumptions!$D$5)</f>
        <v/>
      </c>
      <c r="P446" s="22"/>
      <c r="Q446" s="22"/>
      <c r="R446" s="18" t="str">
        <f aca="false">IF(Q446="","",Q446*IF(LEFT(L446,7)="Phase 1",Assumptions!$B$11,Assumptions!$B$12))</f>
        <v/>
      </c>
    </row>
    <row r="447" customFormat="false" ht="15" hidden="false" customHeight="true" outlineLevel="0" collapsed="false">
      <c r="C447" s="24"/>
      <c r="F447" s="22"/>
      <c r="G447" s="23"/>
      <c r="H447" s="24"/>
      <c r="J447" s="18" t="str">
        <f aca="false">IF(F447="","",F447*G447)</f>
        <v/>
      </c>
      <c r="K447" s="5" t="str">
        <f aca="false">IF(A447="","",IF(H447&lt;&gt;"",Assumptions!$D$5-H447,IF(C447="","",Assumptions!$D$5-(C447+Assumptions!$B$8))))</f>
        <v/>
      </c>
      <c r="L447" s="5" t="str">
        <f aca="false">IF(K447="","",IF(K447&lt;0,"Phase 1 (unliquidated)",IF(K447&lt;=Assumptions!$B$7,"Phase 1 (recently liquidated)",IF(K447&lt;=Assumptions!$B$6,"Protest required","Deadline passed — litigation only"))))</f>
        <v/>
      </c>
      <c r="M447" s="20" t="str">
        <f aca="false">IF(K447="","",IF(H447&lt;&gt;"",H447+Assumptions!$B$6,C447+Assumptions!$B$8+Assumptions!$B$6))</f>
        <v/>
      </c>
      <c r="N447" s="20" t="str">
        <f aca="false">IF(K447="","",IF(K447&lt;0,IF(H447&lt;&gt;"",H447+Assumptions!$B$7,C447+Assumptions!$B$8+Assumptions!$B$7),M447))</f>
        <v/>
      </c>
      <c r="O447" s="21" t="str">
        <f aca="false">IF(N447="","",N447-Assumptions!$D$5)</f>
        <v/>
      </c>
      <c r="P447" s="22"/>
      <c r="Q447" s="22"/>
      <c r="R447" s="18" t="str">
        <f aca="false">IF(Q447="","",Q447*IF(LEFT(L447,7)="Phase 1",Assumptions!$B$11,Assumptions!$B$12))</f>
        <v/>
      </c>
    </row>
    <row r="448" customFormat="false" ht="15" hidden="false" customHeight="true" outlineLevel="0" collapsed="false">
      <c r="C448" s="24"/>
      <c r="F448" s="22"/>
      <c r="G448" s="23"/>
      <c r="H448" s="24"/>
      <c r="J448" s="18" t="str">
        <f aca="false">IF(F448="","",F448*G448)</f>
        <v/>
      </c>
      <c r="K448" s="5" t="str">
        <f aca="false">IF(A448="","",IF(H448&lt;&gt;"",Assumptions!$D$5-H448,IF(C448="","",Assumptions!$D$5-(C448+Assumptions!$B$8))))</f>
        <v/>
      </c>
      <c r="L448" s="5" t="str">
        <f aca="false">IF(K448="","",IF(K448&lt;0,"Phase 1 (unliquidated)",IF(K448&lt;=Assumptions!$B$7,"Phase 1 (recently liquidated)",IF(K448&lt;=Assumptions!$B$6,"Protest required","Deadline passed — litigation only"))))</f>
        <v/>
      </c>
      <c r="M448" s="20" t="str">
        <f aca="false">IF(K448="","",IF(H448&lt;&gt;"",H448+Assumptions!$B$6,C448+Assumptions!$B$8+Assumptions!$B$6))</f>
        <v/>
      </c>
      <c r="N448" s="20" t="str">
        <f aca="false">IF(K448="","",IF(K448&lt;0,IF(H448&lt;&gt;"",H448+Assumptions!$B$7,C448+Assumptions!$B$8+Assumptions!$B$7),M448))</f>
        <v/>
      </c>
      <c r="O448" s="21" t="str">
        <f aca="false">IF(N448="","",N448-Assumptions!$D$5)</f>
        <v/>
      </c>
      <c r="P448" s="22"/>
      <c r="Q448" s="22"/>
      <c r="R448" s="18" t="str">
        <f aca="false">IF(Q448="","",Q448*IF(LEFT(L448,7)="Phase 1",Assumptions!$B$11,Assumptions!$B$12))</f>
        <v/>
      </c>
    </row>
    <row r="449" customFormat="false" ht="15" hidden="false" customHeight="true" outlineLevel="0" collapsed="false">
      <c r="C449" s="24"/>
      <c r="F449" s="22"/>
      <c r="G449" s="23"/>
      <c r="H449" s="24"/>
      <c r="J449" s="18" t="str">
        <f aca="false">IF(F449="","",F449*G449)</f>
        <v/>
      </c>
      <c r="K449" s="5" t="str">
        <f aca="false">IF(A449="","",IF(H449&lt;&gt;"",Assumptions!$D$5-H449,IF(C449="","",Assumptions!$D$5-(C449+Assumptions!$B$8))))</f>
        <v/>
      </c>
      <c r="L449" s="5" t="str">
        <f aca="false">IF(K449="","",IF(K449&lt;0,"Phase 1 (unliquidated)",IF(K449&lt;=Assumptions!$B$7,"Phase 1 (recently liquidated)",IF(K449&lt;=Assumptions!$B$6,"Protest required","Deadline passed — litigation only"))))</f>
        <v/>
      </c>
      <c r="M449" s="20" t="str">
        <f aca="false">IF(K449="","",IF(H449&lt;&gt;"",H449+Assumptions!$B$6,C449+Assumptions!$B$8+Assumptions!$B$6))</f>
        <v/>
      </c>
      <c r="N449" s="20" t="str">
        <f aca="false">IF(K449="","",IF(K449&lt;0,IF(H449&lt;&gt;"",H449+Assumptions!$B$7,C449+Assumptions!$B$8+Assumptions!$B$7),M449))</f>
        <v/>
      </c>
      <c r="O449" s="21" t="str">
        <f aca="false">IF(N449="","",N449-Assumptions!$D$5)</f>
        <v/>
      </c>
      <c r="P449" s="22"/>
      <c r="Q449" s="22"/>
      <c r="R449" s="18" t="str">
        <f aca="false">IF(Q449="","",Q449*IF(LEFT(L449,7)="Phase 1",Assumptions!$B$11,Assumptions!$B$12))</f>
        <v/>
      </c>
    </row>
    <row r="450" customFormat="false" ht="15" hidden="false" customHeight="true" outlineLevel="0" collapsed="false">
      <c r="C450" s="24"/>
      <c r="F450" s="22"/>
      <c r="G450" s="23"/>
      <c r="H450" s="24"/>
      <c r="J450" s="18" t="str">
        <f aca="false">IF(F450="","",F450*G450)</f>
        <v/>
      </c>
      <c r="K450" s="5" t="str">
        <f aca="false">IF(A450="","",IF(H450&lt;&gt;"",Assumptions!$D$5-H450,IF(C450="","",Assumptions!$D$5-(C450+Assumptions!$B$8))))</f>
        <v/>
      </c>
      <c r="L450" s="5" t="str">
        <f aca="false">IF(K450="","",IF(K450&lt;0,"Phase 1 (unliquidated)",IF(K450&lt;=Assumptions!$B$7,"Phase 1 (recently liquidated)",IF(K450&lt;=Assumptions!$B$6,"Protest required","Deadline passed — litigation only"))))</f>
        <v/>
      </c>
      <c r="M450" s="20" t="str">
        <f aca="false">IF(K450="","",IF(H450&lt;&gt;"",H450+Assumptions!$B$6,C450+Assumptions!$B$8+Assumptions!$B$6))</f>
        <v/>
      </c>
      <c r="N450" s="20" t="str">
        <f aca="false">IF(K450="","",IF(K450&lt;0,IF(H450&lt;&gt;"",H450+Assumptions!$B$7,C450+Assumptions!$B$8+Assumptions!$B$7),M450))</f>
        <v/>
      </c>
      <c r="O450" s="21" t="str">
        <f aca="false">IF(N450="","",N450-Assumptions!$D$5)</f>
        <v/>
      </c>
      <c r="P450" s="22"/>
      <c r="Q450" s="22"/>
      <c r="R450" s="18" t="str">
        <f aca="false">IF(Q450="","",Q450*IF(LEFT(L450,7)="Phase 1",Assumptions!$B$11,Assumptions!$B$12))</f>
        <v/>
      </c>
    </row>
    <row r="451" customFormat="false" ht="15" hidden="false" customHeight="true" outlineLevel="0" collapsed="false">
      <c r="C451" s="24"/>
      <c r="F451" s="22"/>
      <c r="G451" s="23"/>
      <c r="H451" s="24"/>
      <c r="J451" s="18" t="str">
        <f aca="false">IF(F451="","",F451*G451)</f>
        <v/>
      </c>
      <c r="K451" s="5" t="str">
        <f aca="false">IF(A451="","",IF(H451&lt;&gt;"",Assumptions!$D$5-H451,IF(C451="","",Assumptions!$D$5-(C451+Assumptions!$B$8))))</f>
        <v/>
      </c>
      <c r="L451" s="5" t="str">
        <f aca="false">IF(K451="","",IF(K451&lt;0,"Phase 1 (unliquidated)",IF(K451&lt;=Assumptions!$B$7,"Phase 1 (recently liquidated)",IF(K451&lt;=Assumptions!$B$6,"Protest required","Deadline passed — litigation only"))))</f>
        <v/>
      </c>
      <c r="M451" s="20" t="str">
        <f aca="false">IF(K451="","",IF(H451&lt;&gt;"",H451+Assumptions!$B$6,C451+Assumptions!$B$8+Assumptions!$B$6))</f>
        <v/>
      </c>
      <c r="N451" s="20" t="str">
        <f aca="false">IF(K451="","",IF(K451&lt;0,IF(H451&lt;&gt;"",H451+Assumptions!$B$7,C451+Assumptions!$B$8+Assumptions!$B$7),M451))</f>
        <v/>
      </c>
      <c r="O451" s="21" t="str">
        <f aca="false">IF(N451="","",N451-Assumptions!$D$5)</f>
        <v/>
      </c>
      <c r="P451" s="22"/>
      <c r="Q451" s="22"/>
      <c r="R451" s="18" t="str">
        <f aca="false">IF(Q451="","",Q451*IF(LEFT(L451,7)="Phase 1",Assumptions!$B$11,Assumptions!$B$12))</f>
        <v/>
      </c>
    </row>
    <row r="452" customFormat="false" ht="15" hidden="false" customHeight="true" outlineLevel="0" collapsed="false">
      <c r="C452" s="24"/>
      <c r="F452" s="22"/>
      <c r="G452" s="23"/>
      <c r="H452" s="24"/>
      <c r="J452" s="18" t="str">
        <f aca="false">IF(F452="","",F452*G452)</f>
        <v/>
      </c>
      <c r="K452" s="5" t="str">
        <f aca="false">IF(A452="","",IF(H452&lt;&gt;"",Assumptions!$D$5-H452,IF(C452="","",Assumptions!$D$5-(C452+Assumptions!$B$8))))</f>
        <v/>
      </c>
      <c r="L452" s="5" t="str">
        <f aca="false">IF(K452="","",IF(K452&lt;0,"Phase 1 (unliquidated)",IF(K452&lt;=Assumptions!$B$7,"Phase 1 (recently liquidated)",IF(K452&lt;=Assumptions!$B$6,"Protest required","Deadline passed — litigation only"))))</f>
        <v/>
      </c>
      <c r="M452" s="20" t="str">
        <f aca="false">IF(K452="","",IF(H452&lt;&gt;"",H452+Assumptions!$B$6,C452+Assumptions!$B$8+Assumptions!$B$6))</f>
        <v/>
      </c>
      <c r="N452" s="20" t="str">
        <f aca="false">IF(K452="","",IF(K452&lt;0,IF(H452&lt;&gt;"",H452+Assumptions!$B$7,C452+Assumptions!$B$8+Assumptions!$B$7),M452))</f>
        <v/>
      </c>
      <c r="O452" s="21" t="str">
        <f aca="false">IF(N452="","",N452-Assumptions!$D$5)</f>
        <v/>
      </c>
      <c r="P452" s="22"/>
      <c r="Q452" s="22"/>
      <c r="R452" s="18" t="str">
        <f aca="false">IF(Q452="","",Q452*IF(LEFT(L452,7)="Phase 1",Assumptions!$B$11,Assumptions!$B$12))</f>
        <v/>
      </c>
    </row>
    <row r="453" customFormat="false" ht="15" hidden="false" customHeight="true" outlineLevel="0" collapsed="false">
      <c r="C453" s="24"/>
      <c r="F453" s="22"/>
      <c r="G453" s="23"/>
      <c r="H453" s="24"/>
      <c r="J453" s="18" t="str">
        <f aca="false">IF(F453="","",F453*G453)</f>
        <v/>
      </c>
      <c r="K453" s="5" t="str">
        <f aca="false">IF(A453="","",IF(H453&lt;&gt;"",Assumptions!$D$5-H453,IF(C453="","",Assumptions!$D$5-(C453+Assumptions!$B$8))))</f>
        <v/>
      </c>
      <c r="L453" s="5" t="str">
        <f aca="false">IF(K453="","",IF(K453&lt;0,"Phase 1 (unliquidated)",IF(K453&lt;=Assumptions!$B$7,"Phase 1 (recently liquidated)",IF(K453&lt;=Assumptions!$B$6,"Protest required","Deadline passed — litigation only"))))</f>
        <v/>
      </c>
      <c r="M453" s="20" t="str">
        <f aca="false">IF(K453="","",IF(H453&lt;&gt;"",H453+Assumptions!$B$6,C453+Assumptions!$B$8+Assumptions!$B$6))</f>
        <v/>
      </c>
      <c r="N453" s="20" t="str">
        <f aca="false">IF(K453="","",IF(K453&lt;0,IF(H453&lt;&gt;"",H453+Assumptions!$B$7,C453+Assumptions!$B$8+Assumptions!$B$7),M453))</f>
        <v/>
      </c>
      <c r="O453" s="21" t="str">
        <f aca="false">IF(N453="","",N453-Assumptions!$D$5)</f>
        <v/>
      </c>
      <c r="P453" s="22"/>
      <c r="Q453" s="22"/>
      <c r="R453" s="18" t="str">
        <f aca="false">IF(Q453="","",Q453*IF(LEFT(L453,7)="Phase 1",Assumptions!$B$11,Assumptions!$B$12))</f>
        <v/>
      </c>
    </row>
    <row r="454" customFormat="false" ht="15" hidden="false" customHeight="true" outlineLevel="0" collapsed="false">
      <c r="C454" s="24"/>
      <c r="F454" s="22"/>
      <c r="G454" s="23"/>
      <c r="H454" s="24"/>
      <c r="J454" s="18" t="str">
        <f aca="false">IF(F454="","",F454*G454)</f>
        <v/>
      </c>
      <c r="K454" s="5" t="str">
        <f aca="false">IF(A454="","",IF(H454&lt;&gt;"",Assumptions!$D$5-H454,IF(C454="","",Assumptions!$D$5-(C454+Assumptions!$B$8))))</f>
        <v/>
      </c>
      <c r="L454" s="5" t="str">
        <f aca="false">IF(K454="","",IF(K454&lt;0,"Phase 1 (unliquidated)",IF(K454&lt;=Assumptions!$B$7,"Phase 1 (recently liquidated)",IF(K454&lt;=Assumptions!$B$6,"Protest required","Deadline passed — litigation only"))))</f>
        <v/>
      </c>
      <c r="M454" s="20" t="str">
        <f aca="false">IF(K454="","",IF(H454&lt;&gt;"",H454+Assumptions!$B$6,C454+Assumptions!$B$8+Assumptions!$B$6))</f>
        <v/>
      </c>
      <c r="N454" s="20" t="str">
        <f aca="false">IF(K454="","",IF(K454&lt;0,IF(H454&lt;&gt;"",H454+Assumptions!$B$7,C454+Assumptions!$B$8+Assumptions!$B$7),M454))</f>
        <v/>
      </c>
      <c r="O454" s="21" t="str">
        <f aca="false">IF(N454="","",N454-Assumptions!$D$5)</f>
        <v/>
      </c>
      <c r="P454" s="22"/>
      <c r="Q454" s="22"/>
      <c r="R454" s="18" t="str">
        <f aca="false">IF(Q454="","",Q454*IF(LEFT(L454,7)="Phase 1",Assumptions!$B$11,Assumptions!$B$12))</f>
        <v/>
      </c>
    </row>
    <row r="455" customFormat="false" ht="15" hidden="false" customHeight="true" outlineLevel="0" collapsed="false">
      <c r="C455" s="24"/>
      <c r="F455" s="22"/>
      <c r="G455" s="23"/>
      <c r="H455" s="24"/>
      <c r="J455" s="18" t="str">
        <f aca="false">IF(F455="","",F455*G455)</f>
        <v/>
      </c>
      <c r="K455" s="5" t="str">
        <f aca="false">IF(A455="","",IF(H455&lt;&gt;"",Assumptions!$D$5-H455,IF(C455="","",Assumptions!$D$5-(C455+Assumptions!$B$8))))</f>
        <v/>
      </c>
      <c r="L455" s="5" t="str">
        <f aca="false">IF(K455="","",IF(K455&lt;0,"Phase 1 (unliquidated)",IF(K455&lt;=Assumptions!$B$7,"Phase 1 (recently liquidated)",IF(K455&lt;=Assumptions!$B$6,"Protest required","Deadline passed — litigation only"))))</f>
        <v/>
      </c>
      <c r="M455" s="20" t="str">
        <f aca="false">IF(K455="","",IF(H455&lt;&gt;"",H455+Assumptions!$B$6,C455+Assumptions!$B$8+Assumptions!$B$6))</f>
        <v/>
      </c>
      <c r="N455" s="20" t="str">
        <f aca="false">IF(K455="","",IF(K455&lt;0,IF(H455&lt;&gt;"",H455+Assumptions!$B$7,C455+Assumptions!$B$8+Assumptions!$B$7),M455))</f>
        <v/>
      </c>
      <c r="O455" s="21" t="str">
        <f aca="false">IF(N455="","",N455-Assumptions!$D$5)</f>
        <v/>
      </c>
      <c r="P455" s="22"/>
      <c r="Q455" s="22"/>
      <c r="R455" s="18" t="str">
        <f aca="false">IF(Q455="","",Q455*IF(LEFT(L455,7)="Phase 1",Assumptions!$B$11,Assumptions!$B$12))</f>
        <v/>
      </c>
    </row>
    <row r="456" customFormat="false" ht="15" hidden="false" customHeight="true" outlineLevel="0" collapsed="false">
      <c r="C456" s="24"/>
      <c r="F456" s="22"/>
      <c r="G456" s="23"/>
      <c r="H456" s="24"/>
      <c r="J456" s="18" t="str">
        <f aca="false">IF(F456="","",F456*G456)</f>
        <v/>
      </c>
      <c r="K456" s="5" t="str">
        <f aca="false">IF(A456="","",IF(H456&lt;&gt;"",Assumptions!$D$5-H456,IF(C456="","",Assumptions!$D$5-(C456+Assumptions!$B$8))))</f>
        <v/>
      </c>
      <c r="L456" s="5" t="str">
        <f aca="false">IF(K456="","",IF(K456&lt;0,"Phase 1 (unliquidated)",IF(K456&lt;=Assumptions!$B$7,"Phase 1 (recently liquidated)",IF(K456&lt;=Assumptions!$B$6,"Protest required","Deadline passed — litigation only"))))</f>
        <v/>
      </c>
      <c r="M456" s="20" t="str">
        <f aca="false">IF(K456="","",IF(H456&lt;&gt;"",H456+Assumptions!$B$6,C456+Assumptions!$B$8+Assumptions!$B$6))</f>
        <v/>
      </c>
      <c r="N456" s="20" t="str">
        <f aca="false">IF(K456="","",IF(K456&lt;0,IF(H456&lt;&gt;"",H456+Assumptions!$B$7,C456+Assumptions!$B$8+Assumptions!$B$7),M456))</f>
        <v/>
      </c>
      <c r="O456" s="21" t="str">
        <f aca="false">IF(N456="","",N456-Assumptions!$D$5)</f>
        <v/>
      </c>
      <c r="P456" s="22"/>
      <c r="Q456" s="22"/>
      <c r="R456" s="18" t="str">
        <f aca="false">IF(Q456="","",Q456*IF(LEFT(L456,7)="Phase 1",Assumptions!$B$11,Assumptions!$B$12))</f>
        <v/>
      </c>
    </row>
    <row r="457" customFormat="false" ht="15" hidden="false" customHeight="true" outlineLevel="0" collapsed="false">
      <c r="C457" s="24"/>
      <c r="F457" s="22"/>
      <c r="G457" s="23"/>
      <c r="H457" s="24"/>
      <c r="J457" s="18" t="str">
        <f aca="false">IF(F457="","",F457*G457)</f>
        <v/>
      </c>
      <c r="K457" s="5" t="str">
        <f aca="false">IF(A457="","",IF(H457&lt;&gt;"",Assumptions!$D$5-H457,IF(C457="","",Assumptions!$D$5-(C457+Assumptions!$B$8))))</f>
        <v/>
      </c>
      <c r="L457" s="5" t="str">
        <f aca="false">IF(K457="","",IF(K457&lt;0,"Phase 1 (unliquidated)",IF(K457&lt;=Assumptions!$B$7,"Phase 1 (recently liquidated)",IF(K457&lt;=Assumptions!$B$6,"Protest required","Deadline passed — litigation only"))))</f>
        <v/>
      </c>
      <c r="M457" s="20" t="str">
        <f aca="false">IF(K457="","",IF(H457&lt;&gt;"",H457+Assumptions!$B$6,C457+Assumptions!$B$8+Assumptions!$B$6))</f>
        <v/>
      </c>
      <c r="N457" s="20" t="str">
        <f aca="false">IF(K457="","",IF(K457&lt;0,IF(H457&lt;&gt;"",H457+Assumptions!$B$7,C457+Assumptions!$B$8+Assumptions!$B$7),M457))</f>
        <v/>
      </c>
      <c r="O457" s="21" t="str">
        <f aca="false">IF(N457="","",N457-Assumptions!$D$5)</f>
        <v/>
      </c>
      <c r="P457" s="22"/>
      <c r="Q457" s="22"/>
      <c r="R457" s="18" t="str">
        <f aca="false">IF(Q457="","",Q457*IF(LEFT(L457,7)="Phase 1",Assumptions!$B$11,Assumptions!$B$12))</f>
        <v/>
      </c>
    </row>
    <row r="458" customFormat="false" ht="15" hidden="false" customHeight="true" outlineLevel="0" collapsed="false">
      <c r="C458" s="24"/>
      <c r="F458" s="22"/>
      <c r="G458" s="23"/>
      <c r="H458" s="24"/>
      <c r="J458" s="18" t="str">
        <f aca="false">IF(F458="","",F458*G458)</f>
        <v/>
      </c>
      <c r="K458" s="5" t="str">
        <f aca="false">IF(A458="","",IF(H458&lt;&gt;"",Assumptions!$D$5-H458,IF(C458="","",Assumptions!$D$5-(C458+Assumptions!$B$8))))</f>
        <v/>
      </c>
      <c r="L458" s="5" t="str">
        <f aca="false">IF(K458="","",IF(K458&lt;0,"Phase 1 (unliquidated)",IF(K458&lt;=Assumptions!$B$7,"Phase 1 (recently liquidated)",IF(K458&lt;=Assumptions!$B$6,"Protest required","Deadline passed — litigation only"))))</f>
        <v/>
      </c>
      <c r="M458" s="20" t="str">
        <f aca="false">IF(K458="","",IF(H458&lt;&gt;"",H458+Assumptions!$B$6,C458+Assumptions!$B$8+Assumptions!$B$6))</f>
        <v/>
      </c>
      <c r="N458" s="20" t="str">
        <f aca="false">IF(K458="","",IF(K458&lt;0,IF(H458&lt;&gt;"",H458+Assumptions!$B$7,C458+Assumptions!$B$8+Assumptions!$B$7),M458))</f>
        <v/>
      </c>
      <c r="O458" s="21" t="str">
        <f aca="false">IF(N458="","",N458-Assumptions!$D$5)</f>
        <v/>
      </c>
      <c r="P458" s="22"/>
      <c r="Q458" s="22"/>
      <c r="R458" s="18" t="str">
        <f aca="false">IF(Q458="","",Q458*IF(LEFT(L458,7)="Phase 1",Assumptions!$B$11,Assumptions!$B$12))</f>
        <v/>
      </c>
    </row>
    <row r="459" customFormat="false" ht="15" hidden="false" customHeight="true" outlineLevel="0" collapsed="false">
      <c r="C459" s="24"/>
      <c r="F459" s="22"/>
      <c r="G459" s="23"/>
      <c r="H459" s="24"/>
      <c r="J459" s="18" t="str">
        <f aca="false">IF(F459="","",F459*G459)</f>
        <v/>
      </c>
      <c r="K459" s="5" t="str">
        <f aca="false">IF(A459="","",IF(H459&lt;&gt;"",Assumptions!$D$5-H459,IF(C459="","",Assumptions!$D$5-(C459+Assumptions!$B$8))))</f>
        <v/>
      </c>
      <c r="L459" s="5" t="str">
        <f aca="false">IF(K459="","",IF(K459&lt;0,"Phase 1 (unliquidated)",IF(K459&lt;=Assumptions!$B$7,"Phase 1 (recently liquidated)",IF(K459&lt;=Assumptions!$B$6,"Protest required","Deadline passed — litigation only"))))</f>
        <v/>
      </c>
      <c r="M459" s="20" t="str">
        <f aca="false">IF(K459="","",IF(H459&lt;&gt;"",H459+Assumptions!$B$6,C459+Assumptions!$B$8+Assumptions!$B$6))</f>
        <v/>
      </c>
      <c r="N459" s="20" t="str">
        <f aca="false">IF(K459="","",IF(K459&lt;0,IF(H459&lt;&gt;"",H459+Assumptions!$B$7,C459+Assumptions!$B$8+Assumptions!$B$7),M459))</f>
        <v/>
      </c>
      <c r="O459" s="21" t="str">
        <f aca="false">IF(N459="","",N459-Assumptions!$D$5)</f>
        <v/>
      </c>
      <c r="P459" s="22"/>
      <c r="Q459" s="22"/>
      <c r="R459" s="18" t="str">
        <f aca="false">IF(Q459="","",Q459*IF(LEFT(L459,7)="Phase 1",Assumptions!$B$11,Assumptions!$B$12))</f>
        <v/>
      </c>
    </row>
    <row r="460" customFormat="false" ht="15" hidden="false" customHeight="true" outlineLevel="0" collapsed="false">
      <c r="C460" s="24"/>
      <c r="F460" s="22"/>
      <c r="G460" s="23"/>
      <c r="H460" s="24"/>
      <c r="J460" s="18" t="str">
        <f aca="false">IF(F460="","",F460*G460)</f>
        <v/>
      </c>
      <c r="K460" s="5" t="str">
        <f aca="false">IF(A460="","",IF(H460&lt;&gt;"",Assumptions!$D$5-H460,IF(C460="","",Assumptions!$D$5-(C460+Assumptions!$B$8))))</f>
        <v/>
      </c>
      <c r="L460" s="5" t="str">
        <f aca="false">IF(K460="","",IF(K460&lt;0,"Phase 1 (unliquidated)",IF(K460&lt;=Assumptions!$B$7,"Phase 1 (recently liquidated)",IF(K460&lt;=Assumptions!$B$6,"Protest required","Deadline passed — litigation only"))))</f>
        <v/>
      </c>
      <c r="M460" s="20" t="str">
        <f aca="false">IF(K460="","",IF(H460&lt;&gt;"",H460+Assumptions!$B$6,C460+Assumptions!$B$8+Assumptions!$B$6))</f>
        <v/>
      </c>
      <c r="N460" s="20" t="str">
        <f aca="false">IF(K460="","",IF(K460&lt;0,IF(H460&lt;&gt;"",H460+Assumptions!$B$7,C460+Assumptions!$B$8+Assumptions!$B$7),M460))</f>
        <v/>
      </c>
      <c r="O460" s="21" t="str">
        <f aca="false">IF(N460="","",N460-Assumptions!$D$5)</f>
        <v/>
      </c>
      <c r="P460" s="22"/>
      <c r="Q460" s="22"/>
      <c r="R460" s="18" t="str">
        <f aca="false">IF(Q460="","",Q460*IF(LEFT(L460,7)="Phase 1",Assumptions!$B$11,Assumptions!$B$12))</f>
        <v/>
      </c>
    </row>
    <row r="461" customFormat="false" ht="15" hidden="false" customHeight="true" outlineLevel="0" collapsed="false">
      <c r="C461" s="24"/>
      <c r="F461" s="22"/>
      <c r="G461" s="23"/>
      <c r="H461" s="24"/>
      <c r="J461" s="18" t="str">
        <f aca="false">IF(F461="","",F461*G461)</f>
        <v/>
      </c>
      <c r="K461" s="5" t="str">
        <f aca="false">IF(A461="","",IF(H461&lt;&gt;"",Assumptions!$D$5-H461,IF(C461="","",Assumptions!$D$5-(C461+Assumptions!$B$8))))</f>
        <v/>
      </c>
      <c r="L461" s="5" t="str">
        <f aca="false">IF(K461="","",IF(K461&lt;0,"Phase 1 (unliquidated)",IF(K461&lt;=Assumptions!$B$7,"Phase 1 (recently liquidated)",IF(K461&lt;=Assumptions!$B$6,"Protest required","Deadline passed — litigation only"))))</f>
        <v/>
      </c>
      <c r="M461" s="20" t="str">
        <f aca="false">IF(K461="","",IF(H461&lt;&gt;"",H461+Assumptions!$B$6,C461+Assumptions!$B$8+Assumptions!$B$6))</f>
        <v/>
      </c>
      <c r="N461" s="20" t="str">
        <f aca="false">IF(K461="","",IF(K461&lt;0,IF(H461&lt;&gt;"",H461+Assumptions!$B$7,C461+Assumptions!$B$8+Assumptions!$B$7),M461))</f>
        <v/>
      </c>
      <c r="O461" s="21" t="str">
        <f aca="false">IF(N461="","",N461-Assumptions!$D$5)</f>
        <v/>
      </c>
      <c r="P461" s="22"/>
      <c r="Q461" s="22"/>
      <c r="R461" s="18" t="str">
        <f aca="false">IF(Q461="","",Q461*IF(LEFT(L461,7)="Phase 1",Assumptions!$B$11,Assumptions!$B$12))</f>
        <v/>
      </c>
    </row>
    <row r="462" customFormat="false" ht="15" hidden="false" customHeight="true" outlineLevel="0" collapsed="false">
      <c r="C462" s="24"/>
      <c r="F462" s="22"/>
      <c r="G462" s="23"/>
      <c r="H462" s="24"/>
      <c r="J462" s="18" t="str">
        <f aca="false">IF(F462="","",F462*G462)</f>
        <v/>
      </c>
      <c r="K462" s="5" t="str">
        <f aca="false">IF(A462="","",IF(H462&lt;&gt;"",Assumptions!$D$5-H462,IF(C462="","",Assumptions!$D$5-(C462+Assumptions!$B$8))))</f>
        <v/>
      </c>
      <c r="L462" s="5" t="str">
        <f aca="false">IF(K462="","",IF(K462&lt;0,"Phase 1 (unliquidated)",IF(K462&lt;=Assumptions!$B$7,"Phase 1 (recently liquidated)",IF(K462&lt;=Assumptions!$B$6,"Protest required","Deadline passed — litigation only"))))</f>
        <v/>
      </c>
      <c r="M462" s="20" t="str">
        <f aca="false">IF(K462="","",IF(H462&lt;&gt;"",H462+Assumptions!$B$6,C462+Assumptions!$B$8+Assumptions!$B$6))</f>
        <v/>
      </c>
      <c r="N462" s="20" t="str">
        <f aca="false">IF(K462="","",IF(K462&lt;0,IF(H462&lt;&gt;"",H462+Assumptions!$B$7,C462+Assumptions!$B$8+Assumptions!$B$7),M462))</f>
        <v/>
      </c>
      <c r="O462" s="21" t="str">
        <f aca="false">IF(N462="","",N462-Assumptions!$D$5)</f>
        <v/>
      </c>
      <c r="P462" s="22"/>
      <c r="Q462" s="22"/>
      <c r="R462" s="18" t="str">
        <f aca="false">IF(Q462="","",Q462*IF(LEFT(L462,7)="Phase 1",Assumptions!$B$11,Assumptions!$B$12))</f>
        <v/>
      </c>
    </row>
    <row r="463" customFormat="false" ht="15" hidden="false" customHeight="true" outlineLevel="0" collapsed="false">
      <c r="C463" s="24"/>
      <c r="F463" s="22"/>
      <c r="G463" s="23"/>
      <c r="H463" s="24"/>
      <c r="J463" s="18" t="str">
        <f aca="false">IF(F463="","",F463*G463)</f>
        <v/>
      </c>
      <c r="K463" s="5" t="str">
        <f aca="false">IF(A463="","",IF(H463&lt;&gt;"",Assumptions!$D$5-H463,IF(C463="","",Assumptions!$D$5-(C463+Assumptions!$B$8))))</f>
        <v/>
      </c>
      <c r="L463" s="5" t="str">
        <f aca="false">IF(K463="","",IF(K463&lt;0,"Phase 1 (unliquidated)",IF(K463&lt;=Assumptions!$B$7,"Phase 1 (recently liquidated)",IF(K463&lt;=Assumptions!$B$6,"Protest required","Deadline passed — litigation only"))))</f>
        <v/>
      </c>
      <c r="M463" s="20" t="str">
        <f aca="false">IF(K463="","",IF(H463&lt;&gt;"",H463+Assumptions!$B$6,C463+Assumptions!$B$8+Assumptions!$B$6))</f>
        <v/>
      </c>
      <c r="N463" s="20" t="str">
        <f aca="false">IF(K463="","",IF(K463&lt;0,IF(H463&lt;&gt;"",H463+Assumptions!$B$7,C463+Assumptions!$B$8+Assumptions!$B$7),M463))</f>
        <v/>
      </c>
      <c r="O463" s="21" t="str">
        <f aca="false">IF(N463="","",N463-Assumptions!$D$5)</f>
        <v/>
      </c>
      <c r="P463" s="22"/>
      <c r="Q463" s="22"/>
      <c r="R463" s="18" t="str">
        <f aca="false">IF(Q463="","",Q463*IF(LEFT(L463,7)="Phase 1",Assumptions!$B$11,Assumptions!$B$12))</f>
        <v/>
      </c>
    </row>
    <row r="464" customFormat="false" ht="15" hidden="false" customHeight="true" outlineLevel="0" collapsed="false">
      <c r="C464" s="24"/>
      <c r="F464" s="22"/>
      <c r="G464" s="23"/>
      <c r="H464" s="24"/>
      <c r="J464" s="18" t="str">
        <f aca="false">IF(F464="","",F464*G464)</f>
        <v/>
      </c>
      <c r="K464" s="5" t="str">
        <f aca="false">IF(A464="","",IF(H464&lt;&gt;"",Assumptions!$D$5-H464,IF(C464="","",Assumptions!$D$5-(C464+Assumptions!$B$8))))</f>
        <v/>
      </c>
      <c r="L464" s="5" t="str">
        <f aca="false">IF(K464="","",IF(K464&lt;0,"Phase 1 (unliquidated)",IF(K464&lt;=Assumptions!$B$7,"Phase 1 (recently liquidated)",IF(K464&lt;=Assumptions!$B$6,"Protest required","Deadline passed — litigation only"))))</f>
        <v/>
      </c>
      <c r="M464" s="20" t="str">
        <f aca="false">IF(K464="","",IF(H464&lt;&gt;"",H464+Assumptions!$B$6,C464+Assumptions!$B$8+Assumptions!$B$6))</f>
        <v/>
      </c>
      <c r="N464" s="20" t="str">
        <f aca="false">IF(K464="","",IF(K464&lt;0,IF(H464&lt;&gt;"",H464+Assumptions!$B$7,C464+Assumptions!$B$8+Assumptions!$B$7),M464))</f>
        <v/>
      </c>
      <c r="O464" s="21" t="str">
        <f aca="false">IF(N464="","",N464-Assumptions!$D$5)</f>
        <v/>
      </c>
      <c r="P464" s="22"/>
      <c r="Q464" s="22"/>
      <c r="R464" s="18" t="str">
        <f aca="false">IF(Q464="","",Q464*IF(LEFT(L464,7)="Phase 1",Assumptions!$B$11,Assumptions!$B$12))</f>
        <v/>
      </c>
    </row>
    <row r="465" customFormat="false" ht="15" hidden="false" customHeight="true" outlineLevel="0" collapsed="false">
      <c r="C465" s="24"/>
      <c r="F465" s="22"/>
      <c r="G465" s="23"/>
      <c r="H465" s="24"/>
      <c r="J465" s="18" t="str">
        <f aca="false">IF(F465="","",F465*G465)</f>
        <v/>
      </c>
      <c r="K465" s="5" t="str">
        <f aca="false">IF(A465="","",IF(H465&lt;&gt;"",Assumptions!$D$5-H465,IF(C465="","",Assumptions!$D$5-(C465+Assumptions!$B$8))))</f>
        <v/>
      </c>
      <c r="L465" s="5" t="str">
        <f aca="false">IF(K465="","",IF(K465&lt;0,"Phase 1 (unliquidated)",IF(K465&lt;=Assumptions!$B$7,"Phase 1 (recently liquidated)",IF(K465&lt;=Assumptions!$B$6,"Protest required","Deadline passed — litigation only"))))</f>
        <v/>
      </c>
      <c r="M465" s="20" t="str">
        <f aca="false">IF(K465="","",IF(H465&lt;&gt;"",H465+Assumptions!$B$6,C465+Assumptions!$B$8+Assumptions!$B$6))</f>
        <v/>
      </c>
      <c r="N465" s="20" t="str">
        <f aca="false">IF(K465="","",IF(K465&lt;0,IF(H465&lt;&gt;"",H465+Assumptions!$B$7,C465+Assumptions!$B$8+Assumptions!$B$7),M465))</f>
        <v/>
      </c>
      <c r="O465" s="21" t="str">
        <f aca="false">IF(N465="","",N465-Assumptions!$D$5)</f>
        <v/>
      </c>
      <c r="P465" s="22"/>
      <c r="Q465" s="22"/>
      <c r="R465" s="18" t="str">
        <f aca="false">IF(Q465="","",Q465*IF(LEFT(L465,7)="Phase 1",Assumptions!$B$11,Assumptions!$B$12))</f>
        <v/>
      </c>
    </row>
    <row r="466" customFormat="false" ht="15" hidden="false" customHeight="true" outlineLevel="0" collapsed="false">
      <c r="C466" s="24"/>
      <c r="F466" s="22"/>
      <c r="G466" s="23"/>
      <c r="H466" s="24"/>
      <c r="J466" s="18" t="str">
        <f aca="false">IF(F466="","",F466*G466)</f>
        <v/>
      </c>
      <c r="K466" s="5" t="str">
        <f aca="false">IF(A466="","",IF(H466&lt;&gt;"",Assumptions!$D$5-H466,IF(C466="","",Assumptions!$D$5-(C466+Assumptions!$B$8))))</f>
        <v/>
      </c>
      <c r="L466" s="5" t="str">
        <f aca="false">IF(K466="","",IF(K466&lt;0,"Phase 1 (unliquidated)",IF(K466&lt;=Assumptions!$B$7,"Phase 1 (recently liquidated)",IF(K466&lt;=Assumptions!$B$6,"Protest required","Deadline passed — litigation only"))))</f>
        <v/>
      </c>
      <c r="M466" s="20" t="str">
        <f aca="false">IF(K466="","",IF(H466&lt;&gt;"",H466+Assumptions!$B$6,C466+Assumptions!$B$8+Assumptions!$B$6))</f>
        <v/>
      </c>
      <c r="N466" s="20" t="str">
        <f aca="false">IF(K466="","",IF(K466&lt;0,IF(H466&lt;&gt;"",H466+Assumptions!$B$7,C466+Assumptions!$B$8+Assumptions!$B$7),M466))</f>
        <v/>
      </c>
      <c r="O466" s="21" t="str">
        <f aca="false">IF(N466="","",N466-Assumptions!$D$5)</f>
        <v/>
      </c>
      <c r="P466" s="22"/>
      <c r="Q466" s="22"/>
      <c r="R466" s="18" t="str">
        <f aca="false">IF(Q466="","",Q466*IF(LEFT(L466,7)="Phase 1",Assumptions!$B$11,Assumptions!$B$12))</f>
        <v/>
      </c>
    </row>
    <row r="467" customFormat="false" ht="15" hidden="false" customHeight="true" outlineLevel="0" collapsed="false">
      <c r="C467" s="24"/>
      <c r="F467" s="22"/>
      <c r="G467" s="23"/>
      <c r="H467" s="24"/>
      <c r="J467" s="18" t="str">
        <f aca="false">IF(F467="","",F467*G467)</f>
        <v/>
      </c>
      <c r="K467" s="5" t="str">
        <f aca="false">IF(A467="","",IF(H467&lt;&gt;"",Assumptions!$D$5-H467,IF(C467="","",Assumptions!$D$5-(C467+Assumptions!$B$8))))</f>
        <v/>
      </c>
      <c r="L467" s="5" t="str">
        <f aca="false">IF(K467="","",IF(K467&lt;0,"Phase 1 (unliquidated)",IF(K467&lt;=Assumptions!$B$7,"Phase 1 (recently liquidated)",IF(K467&lt;=Assumptions!$B$6,"Protest required","Deadline passed — litigation only"))))</f>
        <v/>
      </c>
      <c r="M467" s="20" t="str">
        <f aca="false">IF(K467="","",IF(H467&lt;&gt;"",H467+Assumptions!$B$6,C467+Assumptions!$B$8+Assumptions!$B$6))</f>
        <v/>
      </c>
      <c r="N467" s="20" t="str">
        <f aca="false">IF(K467="","",IF(K467&lt;0,IF(H467&lt;&gt;"",H467+Assumptions!$B$7,C467+Assumptions!$B$8+Assumptions!$B$7),M467))</f>
        <v/>
      </c>
      <c r="O467" s="21" t="str">
        <f aca="false">IF(N467="","",N467-Assumptions!$D$5)</f>
        <v/>
      </c>
      <c r="P467" s="22"/>
      <c r="Q467" s="22"/>
      <c r="R467" s="18" t="str">
        <f aca="false">IF(Q467="","",Q467*IF(LEFT(L467,7)="Phase 1",Assumptions!$B$11,Assumptions!$B$12))</f>
        <v/>
      </c>
    </row>
    <row r="468" customFormat="false" ht="15" hidden="false" customHeight="true" outlineLevel="0" collapsed="false">
      <c r="C468" s="24"/>
      <c r="F468" s="22"/>
      <c r="G468" s="23"/>
      <c r="H468" s="24"/>
      <c r="J468" s="18" t="str">
        <f aca="false">IF(F468="","",F468*G468)</f>
        <v/>
      </c>
      <c r="K468" s="5" t="str">
        <f aca="false">IF(A468="","",IF(H468&lt;&gt;"",Assumptions!$D$5-H468,IF(C468="","",Assumptions!$D$5-(C468+Assumptions!$B$8))))</f>
        <v/>
      </c>
      <c r="L468" s="5" t="str">
        <f aca="false">IF(K468="","",IF(K468&lt;0,"Phase 1 (unliquidated)",IF(K468&lt;=Assumptions!$B$7,"Phase 1 (recently liquidated)",IF(K468&lt;=Assumptions!$B$6,"Protest required","Deadline passed — litigation only"))))</f>
        <v/>
      </c>
      <c r="M468" s="20" t="str">
        <f aca="false">IF(K468="","",IF(H468&lt;&gt;"",H468+Assumptions!$B$6,C468+Assumptions!$B$8+Assumptions!$B$6))</f>
        <v/>
      </c>
      <c r="N468" s="20" t="str">
        <f aca="false">IF(K468="","",IF(K468&lt;0,IF(H468&lt;&gt;"",H468+Assumptions!$B$7,C468+Assumptions!$B$8+Assumptions!$B$7),M468))</f>
        <v/>
      </c>
      <c r="O468" s="21" t="str">
        <f aca="false">IF(N468="","",N468-Assumptions!$D$5)</f>
        <v/>
      </c>
      <c r="P468" s="22"/>
      <c r="Q468" s="22"/>
      <c r="R468" s="18" t="str">
        <f aca="false">IF(Q468="","",Q468*IF(LEFT(L468,7)="Phase 1",Assumptions!$B$11,Assumptions!$B$12))</f>
        <v/>
      </c>
    </row>
    <row r="469" customFormat="false" ht="15" hidden="false" customHeight="true" outlineLevel="0" collapsed="false">
      <c r="C469" s="24"/>
      <c r="F469" s="22"/>
      <c r="G469" s="23"/>
      <c r="H469" s="24"/>
      <c r="J469" s="18" t="str">
        <f aca="false">IF(F469="","",F469*G469)</f>
        <v/>
      </c>
      <c r="K469" s="5" t="str">
        <f aca="false">IF(A469="","",IF(H469&lt;&gt;"",Assumptions!$D$5-H469,IF(C469="","",Assumptions!$D$5-(C469+Assumptions!$B$8))))</f>
        <v/>
      </c>
      <c r="L469" s="5" t="str">
        <f aca="false">IF(K469="","",IF(K469&lt;0,"Phase 1 (unliquidated)",IF(K469&lt;=Assumptions!$B$7,"Phase 1 (recently liquidated)",IF(K469&lt;=Assumptions!$B$6,"Protest required","Deadline passed — litigation only"))))</f>
        <v/>
      </c>
      <c r="M469" s="20" t="str">
        <f aca="false">IF(K469="","",IF(H469&lt;&gt;"",H469+Assumptions!$B$6,C469+Assumptions!$B$8+Assumptions!$B$6))</f>
        <v/>
      </c>
      <c r="N469" s="20" t="str">
        <f aca="false">IF(K469="","",IF(K469&lt;0,IF(H469&lt;&gt;"",H469+Assumptions!$B$7,C469+Assumptions!$B$8+Assumptions!$B$7),M469))</f>
        <v/>
      </c>
      <c r="O469" s="21" t="str">
        <f aca="false">IF(N469="","",N469-Assumptions!$D$5)</f>
        <v/>
      </c>
      <c r="P469" s="22"/>
      <c r="Q469" s="22"/>
      <c r="R469" s="18" t="str">
        <f aca="false">IF(Q469="","",Q469*IF(LEFT(L469,7)="Phase 1",Assumptions!$B$11,Assumptions!$B$12))</f>
        <v/>
      </c>
    </row>
    <row r="470" customFormat="false" ht="15" hidden="false" customHeight="true" outlineLevel="0" collapsed="false">
      <c r="C470" s="24"/>
      <c r="F470" s="22"/>
      <c r="G470" s="23"/>
      <c r="H470" s="24"/>
      <c r="J470" s="18" t="str">
        <f aca="false">IF(F470="","",F470*G470)</f>
        <v/>
      </c>
      <c r="K470" s="5" t="str">
        <f aca="false">IF(A470="","",IF(H470&lt;&gt;"",Assumptions!$D$5-H470,IF(C470="","",Assumptions!$D$5-(C470+Assumptions!$B$8))))</f>
        <v/>
      </c>
      <c r="L470" s="5" t="str">
        <f aca="false">IF(K470="","",IF(K470&lt;0,"Phase 1 (unliquidated)",IF(K470&lt;=Assumptions!$B$7,"Phase 1 (recently liquidated)",IF(K470&lt;=Assumptions!$B$6,"Protest required","Deadline passed — litigation only"))))</f>
        <v/>
      </c>
      <c r="M470" s="20" t="str">
        <f aca="false">IF(K470="","",IF(H470&lt;&gt;"",H470+Assumptions!$B$6,C470+Assumptions!$B$8+Assumptions!$B$6))</f>
        <v/>
      </c>
      <c r="N470" s="20" t="str">
        <f aca="false">IF(K470="","",IF(K470&lt;0,IF(H470&lt;&gt;"",H470+Assumptions!$B$7,C470+Assumptions!$B$8+Assumptions!$B$7),M470))</f>
        <v/>
      </c>
      <c r="O470" s="21" t="str">
        <f aca="false">IF(N470="","",N470-Assumptions!$D$5)</f>
        <v/>
      </c>
      <c r="P470" s="22"/>
      <c r="Q470" s="22"/>
      <c r="R470" s="18" t="str">
        <f aca="false">IF(Q470="","",Q470*IF(LEFT(L470,7)="Phase 1",Assumptions!$B$11,Assumptions!$B$12))</f>
        <v/>
      </c>
    </row>
    <row r="471" customFormat="false" ht="15" hidden="false" customHeight="true" outlineLevel="0" collapsed="false">
      <c r="C471" s="24"/>
      <c r="F471" s="22"/>
      <c r="G471" s="23"/>
      <c r="H471" s="24"/>
      <c r="J471" s="18" t="str">
        <f aca="false">IF(F471="","",F471*G471)</f>
        <v/>
      </c>
      <c r="K471" s="5" t="str">
        <f aca="false">IF(A471="","",IF(H471&lt;&gt;"",Assumptions!$D$5-H471,IF(C471="","",Assumptions!$D$5-(C471+Assumptions!$B$8))))</f>
        <v/>
      </c>
      <c r="L471" s="5" t="str">
        <f aca="false">IF(K471="","",IF(K471&lt;0,"Phase 1 (unliquidated)",IF(K471&lt;=Assumptions!$B$7,"Phase 1 (recently liquidated)",IF(K471&lt;=Assumptions!$B$6,"Protest required","Deadline passed — litigation only"))))</f>
        <v/>
      </c>
      <c r="M471" s="20" t="str">
        <f aca="false">IF(K471="","",IF(H471&lt;&gt;"",H471+Assumptions!$B$6,C471+Assumptions!$B$8+Assumptions!$B$6))</f>
        <v/>
      </c>
      <c r="N471" s="20" t="str">
        <f aca="false">IF(K471="","",IF(K471&lt;0,IF(H471&lt;&gt;"",H471+Assumptions!$B$7,C471+Assumptions!$B$8+Assumptions!$B$7),M471))</f>
        <v/>
      </c>
      <c r="O471" s="21" t="str">
        <f aca="false">IF(N471="","",N471-Assumptions!$D$5)</f>
        <v/>
      </c>
      <c r="P471" s="22"/>
      <c r="Q471" s="22"/>
      <c r="R471" s="18" t="str">
        <f aca="false">IF(Q471="","",Q471*IF(LEFT(L471,7)="Phase 1",Assumptions!$B$11,Assumptions!$B$12))</f>
        <v/>
      </c>
    </row>
    <row r="472" customFormat="false" ht="15" hidden="false" customHeight="true" outlineLevel="0" collapsed="false">
      <c r="C472" s="24"/>
      <c r="F472" s="22"/>
      <c r="G472" s="23"/>
      <c r="H472" s="24"/>
      <c r="J472" s="18" t="str">
        <f aca="false">IF(F472="","",F472*G472)</f>
        <v/>
      </c>
      <c r="K472" s="5" t="str">
        <f aca="false">IF(A472="","",IF(H472&lt;&gt;"",Assumptions!$D$5-H472,IF(C472="","",Assumptions!$D$5-(C472+Assumptions!$B$8))))</f>
        <v/>
      </c>
      <c r="L472" s="5" t="str">
        <f aca="false">IF(K472="","",IF(K472&lt;0,"Phase 1 (unliquidated)",IF(K472&lt;=Assumptions!$B$7,"Phase 1 (recently liquidated)",IF(K472&lt;=Assumptions!$B$6,"Protest required","Deadline passed — litigation only"))))</f>
        <v/>
      </c>
      <c r="M472" s="20" t="str">
        <f aca="false">IF(K472="","",IF(H472&lt;&gt;"",H472+Assumptions!$B$6,C472+Assumptions!$B$8+Assumptions!$B$6))</f>
        <v/>
      </c>
      <c r="N472" s="20" t="str">
        <f aca="false">IF(K472="","",IF(K472&lt;0,IF(H472&lt;&gt;"",H472+Assumptions!$B$7,C472+Assumptions!$B$8+Assumptions!$B$7),M472))</f>
        <v/>
      </c>
      <c r="O472" s="21" t="str">
        <f aca="false">IF(N472="","",N472-Assumptions!$D$5)</f>
        <v/>
      </c>
      <c r="P472" s="22"/>
      <c r="Q472" s="22"/>
      <c r="R472" s="18" t="str">
        <f aca="false">IF(Q472="","",Q472*IF(LEFT(L472,7)="Phase 1",Assumptions!$B$11,Assumptions!$B$12))</f>
        <v/>
      </c>
    </row>
    <row r="473" customFormat="false" ht="15" hidden="false" customHeight="true" outlineLevel="0" collapsed="false">
      <c r="C473" s="24"/>
      <c r="F473" s="22"/>
      <c r="G473" s="23"/>
      <c r="H473" s="24"/>
      <c r="J473" s="18" t="str">
        <f aca="false">IF(F473="","",F473*G473)</f>
        <v/>
      </c>
      <c r="K473" s="5" t="str">
        <f aca="false">IF(A473="","",IF(H473&lt;&gt;"",Assumptions!$D$5-H473,IF(C473="","",Assumptions!$D$5-(C473+Assumptions!$B$8))))</f>
        <v/>
      </c>
      <c r="L473" s="5" t="str">
        <f aca="false">IF(K473="","",IF(K473&lt;0,"Phase 1 (unliquidated)",IF(K473&lt;=Assumptions!$B$7,"Phase 1 (recently liquidated)",IF(K473&lt;=Assumptions!$B$6,"Protest required","Deadline passed — litigation only"))))</f>
        <v/>
      </c>
      <c r="M473" s="20" t="str">
        <f aca="false">IF(K473="","",IF(H473&lt;&gt;"",H473+Assumptions!$B$6,C473+Assumptions!$B$8+Assumptions!$B$6))</f>
        <v/>
      </c>
      <c r="N473" s="20" t="str">
        <f aca="false">IF(K473="","",IF(K473&lt;0,IF(H473&lt;&gt;"",H473+Assumptions!$B$7,C473+Assumptions!$B$8+Assumptions!$B$7),M473))</f>
        <v/>
      </c>
      <c r="O473" s="21" t="str">
        <f aca="false">IF(N473="","",N473-Assumptions!$D$5)</f>
        <v/>
      </c>
      <c r="P473" s="22"/>
      <c r="Q473" s="22"/>
      <c r="R473" s="18" t="str">
        <f aca="false">IF(Q473="","",Q473*IF(LEFT(L473,7)="Phase 1",Assumptions!$B$11,Assumptions!$B$12))</f>
        <v/>
      </c>
    </row>
    <row r="474" customFormat="false" ht="15" hidden="false" customHeight="true" outlineLevel="0" collapsed="false">
      <c r="C474" s="24"/>
      <c r="F474" s="22"/>
      <c r="G474" s="23"/>
      <c r="H474" s="24"/>
      <c r="J474" s="18" t="str">
        <f aca="false">IF(F474="","",F474*G474)</f>
        <v/>
      </c>
      <c r="K474" s="5" t="str">
        <f aca="false">IF(A474="","",IF(H474&lt;&gt;"",Assumptions!$D$5-H474,IF(C474="","",Assumptions!$D$5-(C474+Assumptions!$B$8))))</f>
        <v/>
      </c>
      <c r="L474" s="5" t="str">
        <f aca="false">IF(K474="","",IF(K474&lt;0,"Phase 1 (unliquidated)",IF(K474&lt;=Assumptions!$B$7,"Phase 1 (recently liquidated)",IF(K474&lt;=Assumptions!$B$6,"Protest required","Deadline passed — litigation only"))))</f>
        <v/>
      </c>
      <c r="M474" s="20" t="str">
        <f aca="false">IF(K474="","",IF(H474&lt;&gt;"",H474+Assumptions!$B$6,C474+Assumptions!$B$8+Assumptions!$B$6))</f>
        <v/>
      </c>
      <c r="N474" s="20" t="str">
        <f aca="false">IF(K474="","",IF(K474&lt;0,IF(H474&lt;&gt;"",H474+Assumptions!$B$7,C474+Assumptions!$B$8+Assumptions!$B$7),M474))</f>
        <v/>
      </c>
      <c r="O474" s="21" t="str">
        <f aca="false">IF(N474="","",N474-Assumptions!$D$5)</f>
        <v/>
      </c>
      <c r="P474" s="22"/>
      <c r="Q474" s="22"/>
      <c r="R474" s="18" t="str">
        <f aca="false">IF(Q474="","",Q474*IF(LEFT(L474,7)="Phase 1",Assumptions!$B$11,Assumptions!$B$12))</f>
        <v/>
      </c>
    </row>
    <row r="475" customFormat="false" ht="15" hidden="false" customHeight="true" outlineLevel="0" collapsed="false">
      <c r="C475" s="24"/>
      <c r="F475" s="22"/>
      <c r="G475" s="23"/>
      <c r="H475" s="24"/>
      <c r="J475" s="18" t="str">
        <f aca="false">IF(F475="","",F475*G475)</f>
        <v/>
      </c>
      <c r="K475" s="5" t="str">
        <f aca="false">IF(A475="","",IF(H475&lt;&gt;"",Assumptions!$D$5-H475,IF(C475="","",Assumptions!$D$5-(C475+Assumptions!$B$8))))</f>
        <v/>
      </c>
      <c r="L475" s="5" t="str">
        <f aca="false">IF(K475="","",IF(K475&lt;0,"Phase 1 (unliquidated)",IF(K475&lt;=Assumptions!$B$7,"Phase 1 (recently liquidated)",IF(K475&lt;=Assumptions!$B$6,"Protest required","Deadline passed — litigation only"))))</f>
        <v/>
      </c>
      <c r="M475" s="20" t="str">
        <f aca="false">IF(K475="","",IF(H475&lt;&gt;"",H475+Assumptions!$B$6,C475+Assumptions!$B$8+Assumptions!$B$6))</f>
        <v/>
      </c>
      <c r="N475" s="20" t="str">
        <f aca="false">IF(K475="","",IF(K475&lt;0,IF(H475&lt;&gt;"",H475+Assumptions!$B$7,C475+Assumptions!$B$8+Assumptions!$B$7),M475))</f>
        <v/>
      </c>
      <c r="O475" s="21" t="str">
        <f aca="false">IF(N475="","",N475-Assumptions!$D$5)</f>
        <v/>
      </c>
      <c r="P475" s="22"/>
      <c r="Q475" s="22"/>
      <c r="R475" s="18" t="str">
        <f aca="false">IF(Q475="","",Q475*IF(LEFT(L475,7)="Phase 1",Assumptions!$B$11,Assumptions!$B$12))</f>
        <v/>
      </c>
    </row>
    <row r="476" customFormat="false" ht="15" hidden="false" customHeight="true" outlineLevel="0" collapsed="false">
      <c r="C476" s="24"/>
      <c r="F476" s="22"/>
      <c r="G476" s="23"/>
      <c r="H476" s="24"/>
      <c r="J476" s="18" t="str">
        <f aca="false">IF(F476="","",F476*G476)</f>
        <v/>
      </c>
      <c r="K476" s="5" t="str">
        <f aca="false">IF(A476="","",IF(H476&lt;&gt;"",Assumptions!$D$5-H476,IF(C476="","",Assumptions!$D$5-(C476+Assumptions!$B$8))))</f>
        <v/>
      </c>
      <c r="L476" s="5" t="str">
        <f aca="false">IF(K476="","",IF(K476&lt;0,"Phase 1 (unliquidated)",IF(K476&lt;=Assumptions!$B$7,"Phase 1 (recently liquidated)",IF(K476&lt;=Assumptions!$B$6,"Protest required","Deadline passed — litigation only"))))</f>
        <v/>
      </c>
      <c r="M476" s="20" t="str">
        <f aca="false">IF(K476="","",IF(H476&lt;&gt;"",H476+Assumptions!$B$6,C476+Assumptions!$B$8+Assumptions!$B$6))</f>
        <v/>
      </c>
      <c r="N476" s="20" t="str">
        <f aca="false">IF(K476="","",IF(K476&lt;0,IF(H476&lt;&gt;"",H476+Assumptions!$B$7,C476+Assumptions!$B$8+Assumptions!$B$7),M476))</f>
        <v/>
      </c>
      <c r="O476" s="21" t="str">
        <f aca="false">IF(N476="","",N476-Assumptions!$D$5)</f>
        <v/>
      </c>
      <c r="P476" s="22"/>
      <c r="Q476" s="22"/>
      <c r="R476" s="18" t="str">
        <f aca="false">IF(Q476="","",Q476*IF(LEFT(L476,7)="Phase 1",Assumptions!$B$11,Assumptions!$B$12))</f>
        <v/>
      </c>
    </row>
    <row r="477" customFormat="false" ht="15" hidden="false" customHeight="true" outlineLevel="0" collapsed="false">
      <c r="C477" s="24"/>
      <c r="F477" s="22"/>
      <c r="G477" s="23"/>
      <c r="H477" s="24"/>
      <c r="J477" s="18" t="str">
        <f aca="false">IF(F477="","",F477*G477)</f>
        <v/>
      </c>
      <c r="K477" s="5" t="str">
        <f aca="false">IF(A477="","",IF(H477&lt;&gt;"",Assumptions!$D$5-H477,IF(C477="","",Assumptions!$D$5-(C477+Assumptions!$B$8))))</f>
        <v/>
      </c>
      <c r="L477" s="5" t="str">
        <f aca="false">IF(K477="","",IF(K477&lt;0,"Phase 1 (unliquidated)",IF(K477&lt;=Assumptions!$B$7,"Phase 1 (recently liquidated)",IF(K477&lt;=Assumptions!$B$6,"Protest required","Deadline passed — litigation only"))))</f>
        <v/>
      </c>
      <c r="M477" s="20" t="str">
        <f aca="false">IF(K477="","",IF(H477&lt;&gt;"",H477+Assumptions!$B$6,C477+Assumptions!$B$8+Assumptions!$B$6))</f>
        <v/>
      </c>
      <c r="N477" s="20" t="str">
        <f aca="false">IF(K477="","",IF(K477&lt;0,IF(H477&lt;&gt;"",H477+Assumptions!$B$7,C477+Assumptions!$B$8+Assumptions!$B$7),M477))</f>
        <v/>
      </c>
      <c r="O477" s="21" t="str">
        <f aca="false">IF(N477="","",N477-Assumptions!$D$5)</f>
        <v/>
      </c>
      <c r="P477" s="22"/>
      <c r="Q477" s="22"/>
      <c r="R477" s="18" t="str">
        <f aca="false">IF(Q477="","",Q477*IF(LEFT(L477,7)="Phase 1",Assumptions!$B$11,Assumptions!$B$12))</f>
        <v/>
      </c>
    </row>
    <row r="478" customFormat="false" ht="15" hidden="false" customHeight="true" outlineLevel="0" collapsed="false">
      <c r="C478" s="24"/>
      <c r="F478" s="22"/>
      <c r="G478" s="23"/>
      <c r="H478" s="24"/>
      <c r="J478" s="18" t="str">
        <f aca="false">IF(F478="","",F478*G478)</f>
        <v/>
      </c>
      <c r="K478" s="5" t="str">
        <f aca="false">IF(A478="","",IF(H478&lt;&gt;"",Assumptions!$D$5-H478,IF(C478="","",Assumptions!$D$5-(C478+Assumptions!$B$8))))</f>
        <v/>
      </c>
      <c r="L478" s="5" t="str">
        <f aca="false">IF(K478="","",IF(K478&lt;0,"Phase 1 (unliquidated)",IF(K478&lt;=Assumptions!$B$7,"Phase 1 (recently liquidated)",IF(K478&lt;=Assumptions!$B$6,"Protest required","Deadline passed — litigation only"))))</f>
        <v/>
      </c>
      <c r="M478" s="20" t="str">
        <f aca="false">IF(K478="","",IF(H478&lt;&gt;"",H478+Assumptions!$B$6,C478+Assumptions!$B$8+Assumptions!$B$6))</f>
        <v/>
      </c>
      <c r="N478" s="20" t="str">
        <f aca="false">IF(K478="","",IF(K478&lt;0,IF(H478&lt;&gt;"",H478+Assumptions!$B$7,C478+Assumptions!$B$8+Assumptions!$B$7),M478))</f>
        <v/>
      </c>
      <c r="O478" s="21" t="str">
        <f aca="false">IF(N478="","",N478-Assumptions!$D$5)</f>
        <v/>
      </c>
      <c r="P478" s="22"/>
      <c r="Q478" s="22"/>
      <c r="R478" s="18" t="str">
        <f aca="false">IF(Q478="","",Q478*IF(LEFT(L478,7)="Phase 1",Assumptions!$B$11,Assumptions!$B$12))</f>
        <v/>
      </c>
    </row>
    <row r="479" customFormat="false" ht="15" hidden="false" customHeight="true" outlineLevel="0" collapsed="false">
      <c r="C479" s="24"/>
      <c r="F479" s="22"/>
      <c r="G479" s="23"/>
      <c r="H479" s="24"/>
      <c r="J479" s="18" t="str">
        <f aca="false">IF(F479="","",F479*G479)</f>
        <v/>
      </c>
      <c r="K479" s="5" t="str">
        <f aca="false">IF(A479="","",IF(H479&lt;&gt;"",Assumptions!$D$5-H479,IF(C479="","",Assumptions!$D$5-(C479+Assumptions!$B$8))))</f>
        <v/>
      </c>
      <c r="L479" s="5" t="str">
        <f aca="false">IF(K479="","",IF(K479&lt;0,"Phase 1 (unliquidated)",IF(K479&lt;=Assumptions!$B$7,"Phase 1 (recently liquidated)",IF(K479&lt;=Assumptions!$B$6,"Protest required","Deadline passed — litigation only"))))</f>
        <v/>
      </c>
      <c r="M479" s="20" t="str">
        <f aca="false">IF(K479="","",IF(H479&lt;&gt;"",H479+Assumptions!$B$6,C479+Assumptions!$B$8+Assumptions!$B$6))</f>
        <v/>
      </c>
      <c r="N479" s="20" t="str">
        <f aca="false">IF(K479="","",IF(K479&lt;0,IF(H479&lt;&gt;"",H479+Assumptions!$B$7,C479+Assumptions!$B$8+Assumptions!$B$7),M479))</f>
        <v/>
      </c>
      <c r="O479" s="21" t="str">
        <f aca="false">IF(N479="","",N479-Assumptions!$D$5)</f>
        <v/>
      </c>
      <c r="P479" s="22"/>
      <c r="Q479" s="22"/>
      <c r="R479" s="18" t="str">
        <f aca="false">IF(Q479="","",Q479*IF(LEFT(L479,7)="Phase 1",Assumptions!$B$11,Assumptions!$B$12))</f>
        <v/>
      </c>
    </row>
    <row r="480" customFormat="false" ht="15" hidden="false" customHeight="true" outlineLevel="0" collapsed="false">
      <c r="C480" s="24"/>
      <c r="F480" s="22"/>
      <c r="G480" s="23"/>
      <c r="H480" s="24"/>
      <c r="J480" s="18" t="str">
        <f aca="false">IF(F480="","",F480*G480)</f>
        <v/>
      </c>
      <c r="K480" s="5" t="str">
        <f aca="false">IF(A480="","",IF(H480&lt;&gt;"",Assumptions!$D$5-H480,IF(C480="","",Assumptions!$D$5-(C480+Assumptions!$B$8))))</f>
        <v/>
      </c>
      <c r="L480" s="5" t="str">
        <f aca="false">IF(K480="","",IF(K480&lt;0,"Phase 1 (unliquidated)",IF(K480&lt;=Assumptions!$B$7,"Phase 1 (recently liquidated)",IF(K480&lt;=Assumptions!$B$6,"Protest required","Deadline passed — litigation only"))))</f>
        <v/>
      </c>
      <c r="M480" s="20" t="str">
        <f aca="false">IF(K480="","",IF(H480&lt;&gt;"",H480+Assumptions!$B$6,C480+Assumptions!$B$8+Assumptions!$B$6))</f>
        <v/>
      </c>
      <c r="N480" s="20" t="str">
        <f aca="false">IF(K480="","",IF(K480&lt;0,IF(H480&lt;&gt;"",H480+Assumptions!$B$7,C480+Assumptions!$B$8+Assumptions!$B$7),M480))</f>
        <v/>
      </c>
      <c r="O480" s="21" t="str">
        <f aca="false">IF(N480="","",N480-Assumptions!$D$5)</f>
        <v/>
      </c>
      <c r="P480" s="22"/>
      <c r="Q480" s="22"/>
      <c r="R480" s="18" t="str">
        <f aca="false">IF(Q480="","",Q480*IF(LEFT(L480,7)="Phase 1",Assumptions!$B$11,Assumptions!$B$12))</f>
        <v/>
      </c>
    </row>
    <row r="481" customFormat="false" ht="15" hidden="false" customHeight="true" outlineLevel="0" collapsed="false">
      <c r="C481" s="24"/>
      <c r="F481" s="22"/>
      <c r="G481" s="23"/>
      <c r="H481" s="24"/>
      <c r="J481" s="18" t="str">
        <f aca="false">IF(F481="","",F481*G481)</f>
        <v/>
      </c>
      <c r="K481" s="5" t="str">
        <f aca="false">IF(A481="","",IF(H481&lt;&gt;"",Assumptions!$D$5-H481,IF(C481="","",Assumptions!$D$5-(C481+Assumptions!$B$8))))</f>
        <v/>
      </c>
      <c r="L481" s="5" t="str">
        <f aca="false">IF(K481="","",IF(K481&lt;0,"Phase 1 (unliquidated)",IF(K481&lt;=Assumptions!$B$7,"Phase 1 (recently liquidated)",IF(K481&lt;=Assumptions!$B$6,"Protest required","Deadline passed — litigation only"))))</f>
        <v/>
      </c>
      <c r="M481" s="20" t="str">
        <f aca="false">IF(K481="","",IF(H481&lt;&gt;"",H481+Assumptions!$B$6,C481+Assumptions!$B$8+Assumptions!$B$6))</f>
        <v/>
      </c>
      <c r="N481" s="20" t="str">
        <f aca="false">IF(K481="","",IF(K481&lt;0,IF(H481&lt;&gt;"",H481+Assumptions!$B$7,C481+Assumptions!$B$8+Assumptions!$B$7),M481))</f>
        <v/>
      </c>
      <c r="O481" s="21" t="str">
        <f aca="false">IF(N481="","",N481-Assumptions!$D$5)</f>
        <v/>
      </c>
      <c r="P481" s="22"/>
      <c r="Q481" s="22"/>
      <c r="R481" s="18" t="str">
        <f aca="false">IF(Q481="","",Q481*IF(LEFT(L481,7)="Phase 1",Assumptions!$B$11,Assumptions!$B$12))</f>
        <v/>
      </c>
    </row>
    <row r="482" customFormat="false" ht="15" hidden="false" customHeight="true" outlineLevel="0" collapsed="false">
      <c r="C482" s="24"/>
      <c r="F482" s="22"/>
      <c r="G482" s="23"/>
      <c r="H482" s="24"/>
      <c r="J482" s="18" t="str">
        <f aca="false">IF(F482="","",F482*G482)</f>
        <v/>
      </c>
      <c r="K482" s="5" t="str">
        <f aca="false">IF(A482="","",IF(H482&lt;&gt;"",Assumptions!$D$5-H482,IF(C482="","",Assumptions!$D$5-(C482+Assumptions!$B$8))))</f>
        <v/>
      </c>
      <c r="L482" s="5" t="str">
        <f aca="false">IF(K482="","",IF(K482&lt;0,"Phase 1 (unliquidated)",IF(K482&lt;=Assumptions!$B$7,"Phase 1 (recently liquidated)",IF(K482&lt;=Assumptions!$B$6,"Protest required","Deadline passed — litigation only"))))</f>
        <v/>
      </c>
      <c r="M482" s="20" t="str">
        <f aca="false">IF(K482="","",IF(H482&lt;&gt;"",H482+Assumptions!$B$6,C482+Assumptions!$B$8+Assumptions!$B$6))</f>
        <v/>
      </c>
      <c r="N482" s="20" t="str">
        <f aca="false">IF(K482="","",IF(K482&lt;0,IF(H482&lt;&gt;"",H482+Assumptions!$B$7,C482+Assumptions!$B$8+Assumptions!$B$7),M482))</f>
        <v/>
      </c>
      <c r="O482" s="21" t="str">
        <f aca="false">IF(N482="","",N482-Assumptions!$D$5)</f>
        <v/>
      </c>
      <c r="P482" s="22"/>
      <c r="Q482" s="22"/>
      <c r="R482" s="18" t="str">
        <f aca="false">IF(Q482="","",Q482*IF(LEFT(L482,7)="Phase 1",Assumptions!$B$11,Assumptions!$B$12))</f>
        <v/>
      </c>
    </row>
    <row r="483" customFormat="false" ht="15" hidden="false" customHeight="true" outlineLevel="0" collapsed="false">
      <c r="C483" s="24"/>
      <c r="F483" s="22"/>
      <c r="G483" s="23"/>
      <c r="H483" s="24"/>
      <c r="J483" s="18" t="str">
        <f aca="false">IF(F483="","",F483*G483)</f>
        <v/>
      </c>
      <c r="K483" s="5" t="str">
        <f aca="false">IF(A483="","",IF(H483&lt;&gt;"",Assumptions!$D$5-H483,IF(C483="","",Assumptions!$D$5-(C483+Assumptions!$B$8))))</f>
        <v/>
      </c>
      <c r="L483" s="5" t="str">
        <f aca="false">IF(K483="","",IF(K483&lt;0,"Phase 1 (unliquidated)",IF(K483&lt;=Assumptions!$B$7,"Phase 1 (recently liquidated)",IF(K483&lt;=Assumptions!$B$6,"Protest required","Deadline passed — litigation only"))))</f>
        <v/>
      </c>
      <c r="M483" s="20" t="str">
        <f aca="false">IF(K483="","",IF(H483&lt;&gt;"",H483+Assumptions!$B$6,C483+Assumptions!$B$8+Assumptions!$B$6))</f>
        <v/>
      </c>
      <c r="N483" s="20" t="str">
        <f aca="false">IF(K483="","",IF(K483&lt;0,IF(H483&lt;&gt;"",H483+Assumptions!$B$7,C483+Assumptions!$B$8+Assumptions!$B$7),M483))</f>
        <v/>
      </c>
      <c r="O483" s="21" t="str">
        <f aca="false">IF(N483="","",N483-Assumptions!$D$5)</f>
        <v/>
      </c>
      <c r="P483" s="22"/>
      <c r="Q483" s="22"/>
      <c r="R483" s="18" t="str">
        <f aca="false">IF(Q483="","",Q483*IF(LEFT(L483,7)="Phase 1",Assumptions!$B$11,Assumptions!$B$12))</f>
        <v/>
      </c>
    </row>
    <row r="484" customFormat="false" ht="15" hidden="false" customHeight="true" outlineLevel="0" collapsed="false">
      <c r="C484" s="24"/>
      <c r="F484" s="22"/>
      <c r="G484" s="23"/>
      <c r="H484" s="24"/>
      <c r="J484" s="18" t="str">
        <f aca="false">IF(F484="","",F484*G484)</f>
        <v/>
      </c>
      <c r="K484" s="5" t="str">
        <f aca="false">IF(A484="","",IF(H484&lt;&gt;"",Assumptions!$D$5-H484,IF(C484="","",Assumptions!$D$5-(C484+Assumptions!$B$8))))</f>
        <v/>
      </c>
      <c r="L484" s="5" t="str">
        <f aca="false">IF(K484="","",IF(K484&lt;0,"Phase 1 (unliquidated)",IF(K484&lt;=Assumptions!$B$7,"Phase 1 (recently liquidated)",IF(K484&lt;=Assumptions!$B$6,"Protest required","Deadline passed — litigation only"))))</f>
        <v/>
      </c>
      <c r="M484" s="20" t="str">
        <f aca="false">IF(K484="","",IF(H484&lt;&gt;"",H484+Assumptions!$B$6,C484+Assumptions!$B$8+Assumptions!$B$6))</f>
        <v/>
      </c>
      <c r="N484" s="20" t="str">
        <f aca="false">IF(K484="","",IF(K484&lt;0,IF(H484&lt;&gt;"",H484+Assumptions!$B$7,C484+Assumptions!$B$8+Assumptions!$B$7),M484))</f>
        <v/>
      </c>
      <c r="O484" s="21" t="str">
        <f aca="false">IF(N484="","",N484-Assumptions!$D$5)</f>
        <v/>
      </c>
      <c r="P484" s="22"/>
      <c r="Q484" s="22"/>
      <c r="R484" s="18" t="str">
        <f aca="false">IF(Q484="","",Q484*IF(LEFT(L484,7)="Phase 1",Assumptions!$B$11,Assumptions!$B$12))</f>
        <v/>
      </c>
    </row>
    <row r="485" customFormat="false" ht="15" hidden="false" customHeight="true" outlineLevel="0" collapsed="false">
      <c r="C485" s="24"/>
      <c r="F485" s="22"/>
      <c r="G485" s="23"/>
      <c r="H485" s="24"/>
      <c r="J485" s="18" t="str">
        <f aca="false">IF(F485="","",F485*G485)</f>
        <v/>
      </c>
      <c r="K485" s="5" t="str">
        <f aca="false">IF(A485="","",IF(H485&lt;&gt;"",Assumptions!$D$5-H485,IF(C485="","",Assumptions!$D$5-(C485+Assumptions!$B$8))))</f>
        <v/>
      </c>
      <c r="L485" s="5" t="str">
        <f aca="false">IF(K485="","",IF(K485&lt;0,"Phase 1 (unliquidated)",IF(K485&lt;=Assumptions!$B$7,"Phase 1 (recently liquidated)",IF(K485&lt;=Assumptions!$B$6,"Protest required","Deadline passed — litigation only"))))</f>
        <v/>
      </c>
      <c r="M485" s="20" t="str">
        <f aca="false">IF(K485="","",IF(H485&lt;&gt;"",H485+Assumptions!$B$6,C485+Assumptions!$B$8+Assumptions!$B$6))</f>
        <v/>
      </c>
      <c r="N485" s="20" t="str">
        <f aca="false">IF(K485="","",IF(K485&lt;0,IF(H485&lt;&gt;"",H485+Assumptions!$B$7,C485+Assumptions!$B$8+Assumptions!$B$7),M485))</f>
        <v/>
      </c>
      <c r="O485" s="21" t="str">
        <f aca="false">IF(N485="","",N485-Assumptions!$D$5)</f>
        <v/>
      </c>
      <c r="P485" s="22"/>
      <c r="Q485" s="22"/>
      <c r="R485" s="18" t="str">
        <f aca="false">IF(Q485="","",Q485*IF(LEFT(L485,7)="Phase 1",Assumptions!$B$11,Assumptions!$B$12))</f>
        <v/>
      </c>
    </row>
    <row r="486" customFormat="false" ht="15" hidden="false" customHeight="true" outlineLevel="0" collapsed="false">
      <c r="C486" s="24"/>
      <c r="F486" s="22"/>
      <c r="G486" s="23"/>
      <c r="H486" s="24"/>
      <c r="J486" s="18" t="str">
        <f aca="false">IF(F486="","",F486*G486)</f>
        <v/>
      </c>
      <c r="K486" s="5" t="str">
        <f aca="false">IF(A486="","",IF(H486&lt;&gt;"",Assumptions!$D$5-H486,IF(C486="","",Assumptions!$D$5-(C486+Assumptions!$B$8))))</f>
        <v/>
      </c>
      <c r="L486" s="5" t="str">
        <f aca="false">IF(K486="","",IF(K486&lt;0,"Phase 1 (unliquidated)",IF(K486&lt;=Assumptions!$B$7,"Phase 1 (recently liquidated)",IF(K486&lt;=Assumptions!$B$6,"Protest required","Deadline passed — litigation only"))))</f>
        <v/>
      </c>
      <c r="M486" s="20" t="str">
        <f aca="false">IF(K486="","",IF(H486&lt;&gt;"",H486+Assumptions!$B$6,C486+Assumptions!$B$8+Assumptions!$B$6))</f>
        <v/>
      </c>
      <c r="N486" s="20" t="str">
        <f aca="false">IF(K486="","",IF(K486&lt;0,IF(H486&lt;&gt;"",H486+Assumptions!$B$7,C486+Assumptions!$B$8+Assumptions!$B$7),M486))</f>
        <v/>
      </c>
      <c r="O486" s="21" t="str">
        <f aca="false">IF(N486="","",N486-Assumptions!$D$5)</f>
        <v/>
      </c>
      <c r="P486" s="22"/>
      <c r="Q486" s="22"/>
      <c r="R486" s="18" t="str">
        <f aca="false">IF(Q486="","",Q486*IF(LEFT(L486,7)="Phase 1",Assumptions!$B$11,Assumptions!$B$12))</f>
        <v/>
      </c>
    </row>
    <row r="487" customFormat="false" ht="15" hidden="false" customHeight="true" outlineLevel="0" collapsed="false">
      <c r="C487" s="24"/>
      <c r="F487" s="22"/>
      <c r="G487" s="23"/>
      <c r="H487" s="24"/>
      <c r="J487" s="18" t="str">
        <f aca="false">IF(F487="","",F487*G487)</f>
        <v/>
      </c>
      <c r="K487" s="5" t="str">
        <f aca="false">IF(A487="","",IF(H487&lt;&gt;"",Assumptions!$D$5-H487,IF(C487="","",Assumptions!$D$5-(C487+Assumptions!$B$8))))</f>
        <v/>
      </c>
      <c r="L487" s="5" t="str">
        <f aca="false">IF(K487="","",IF(K487&lt;0,"Phase 1 (unliquidated)",IF(K487&lt;=Assumptions!$B$7,"Phase 1 (recently liquidated)",IF(K487&lt;=Assumptions!$B$6,"Protest required","Deadline passed — litigation only"))))</f>
        <v/>
      </c>
      <c r="M487" s="20" t="str">
        <f aca="false">IF(K487="","",IF(H487&lt;&gt;"",H487+Assumptions!$B$6,C487+Assumptions!$B$8+Assumptions!$B$6))</f>
        <v/>
      </c>
      <c r="N487" s="20" t="str">
        <f aca="false">IF(K487="","",IF(K487&lt;0,IF(H487&lt;&gt;"",H487+Assumptions!$B$7,C487+Assumptions!$B$8+Assumptions!$B$7),M487))</f>
        <v/>
      </c>
      <c r="O487" s="21" t="str">
        <f aca="false">IF(N487="","",N487-Assumptions!$D$5)</f>
        <v/>
      </c>
      <c r="P487" s="22"/>
      <c r="Q487" s="22"/>
      <c r="R487" s="18" t="str">
        <f aca="false">IF(Q487="","",Q487*IF(LEFT(L487,7)="Phase 1",Assumptions!$B$11,Assumptions!$B$12))</f>
        <v/>
      </c>
    </row>
    <row r="488" customFormat="false" ht="15" hidden="false" customHeight="true" outlineLevel="0" collapsed="false">
      <c r="C488" s="24"/>
      <c r="F488" s="22"/>
      <c r="G488" s="23"/>
      <c r="H488" s="24"/>
      <c r="J488" s="18" t="str">
        <f aca="false">IF(F488="","",F488*G488)</f>
        <v/>
      </c>
      <c r="K488" s="5" t="str">
        <f aca="false">IF(A488="","",IF(H488&lt;&gt;"",Assumptions!$D$5-H488,IF(C488="","",Assumptions!$D$5-(C488+Assumptions!$B$8))))</f>
        <v/>
      </c>
      <c r="L488" s="5" t="str">
        <f aca="false">IF(K488="","",IF(K488&lt;0,"Phase 1 (unliquidated)",IF(K488&lt;=Assumptions!$B$7,"Phase 1 (recently liquidated)",IF(K488&lt;=Assumptions!$B$6,"Protest required","Deadline passed — litigation only"))))</f>
        <v/>
      </c>
      <c r="M488" s="20" t="str">
        <f aca="false">IF(K488="","",IF(H488&lt;&gt;"",H488+Assumptions!$B$6,C488+Assumptions!$B$8+Assumptions!$B$6))</f>
        <v/>
      </c>
      <c r="N488" s="20" t="str">
        <f aca="false">IF(K488="","",IF(K488&lt;0,IF(H488&lt;&gt;"",H488+Assumptions!$B$7,C488+Assumptions!$B$8+Assumptions!$B$7),M488))</f>
        <v/>
      </c>
      <c r="O488" s="21" t="str">
        <f aca="false">IF(N488="","",N488-Assumptions!$D$5)</f>
        <v/>
      </c>
      <c r="P488" s="22"/>
      <c r="Q488" s="22"/>
      <c r="R488" s="18" t="str">
        <f aca="false">IF(Q488="","",Q488*IF(LEFT(L488,7)="Phase 1",Assumptions!$B$11,Assumptions!$B$12))</f>
        <v/>
      </c>
    </row>
    <row r="489" customFormat="false" ht="15" hidden="false" customHeight="true" outlineLevel="0" collapsed="false">
      <c r="C489" s="24"/>
      <c r="F489" s="22"/>
      <c r="G489" s="23"/>
      <c r="H489" s="24"/>
      <c r="J489" s="18" t="str">
        <f aca="false">IF(F489="","",F489*G489)</f>
        <v/>
      </c>
      <c r="K489" s="5" t="str">
        <f aca="false">IF(A489="","",IF(H489&lt;&gt;"",Assumptions!$D$5-H489,IF(C489="","",Assumptions!$D$5-(C489+Assumptions!$B$8))))</f>
        <v/>
      </c>
      <c r="L489" s="5" t="str">
        <f aca="false">IF(K489="","",IF(K489&lt;0,"Phase 1 (unliquidated)",IF(K489&lt;=Assumptions!$B$7,"Phase 1 (recently liquidated)",IF(K489&lt;=Assumptions!$B$6,"Protest required","Deadline passed — litigation only"))))</f>
        <v/>
      </c>
      <c r="M489" s="20" t="str">
        <f aca="false">IF(K489="","",IF(H489&lt;&gt;"",H489+Assumptions!$B$6,C489+Assumptions!$B$8+Assumptions!$B$6))</f>
        <v/>
      </c>
      <c r="N489" s="20" t="str">
        <f aca="false">IF(K489="","",IF(K489&lt;0,IF(H489&lt;&gt;"",H489+Assumptions!$B$7,C489+Assumptions!$B$8+Assumptions!$B$7),M489))</f>
        <v/>
      </c>
      <c r="O489" s="21" t="str">
        <f aca="false">IF(N489="","",N489-Assumptions!$D$5)</f>
        <v/>
      </c>
      <c r="P489" s="22"/>
      <c r="Q489" s="22"/>
      <c r="R489" s="18" t="str">
        <f aca="false">IF(Q489="","",Q489*IF(LEFT(L489,7)="Phase 1",Assumptions!$B$11,Assumptions!$B$12))</f>
        <v/>
      </c>
    </row>
    <row r="490" customFormat="false" ht="15" hidden="false" customHeight="true" outlineLevel="0" collapsed="false">
      <c r="C490" s="24"/>
      <c r="F490" s="22"/>
      <c r="G490" s="23"/>
      <c r="H490" s="24"/>
      <c r="J490" s="18" t="str">
        <f aca="false">IF(F490="","",F490*G490)</f>
        <v/>
      </c>
      <c r="K490" s="5" t="str">
        <f aca="false">IF(A490="","",IF(H490&lt;&gt;"",Assumptions!$D$5-H490,IF(C490="","",Assumptions!$D$5-(C490+Assumptions!$B$8))))</f>
        <v/>
      </c>
      <c r="L490" s="5" t="str">
        <f aca="false">IF(K490="","",IF(K490&lt;0,"Phase 1 (unliquidated)",IF(K490&lt;=Assumptions!$B$7,"Phase 1 (recently liquidated)",IF(K490&lt;=Assumptions!$B$6,"Protest required","Deadline passed — litigation only"))))</f>
        <v/>
      </c>
      <c r="M490" s="20" t="str">
        <f aca="false">IF(K490="","",IF(H490&lt;&gt;"",H490+Assumptions!$B$6,C490+Assumptions!$B$8+Assumptions!$B$6))</f>
        <v/>
      </c>
      <c r="N490" s="20" t="str">
        <f aca="false">IF(K490="","",IF(K490&lt;0,IF(H490&lt;&gt;"",H490+Assumptions!$B$7,C490+Assumptions!$B$8+Assumptions!$B$7),M490))</f>
        <v/>
      </c>
      <c r="O490" s="21" t="str">
        <f aca="false">IF(N490="","",N490-Assumptions!$D$5)</f>
        <v/>
      </c>
      <c r="P490" s="22"/>
      <c r="Q490" s="22"/>
      <c r="R490" s="18" t="str">
        <f aca="false">IF(Q490="","",Q490*IF(LEFT(L490,7)="Phase 1",Assumptions!$B$11,Assumptions!$B$12))</f>
        <v/>
      </c>
    </row>
    <row r="491" customFormat="false" ht="15" hidden="false" customHeight="true" outlineLevel="0" collapsed="false">
      <c r="C491" s="24"/>
      <c r="F491" s="22"/>
      <c r="G491" s="23"/>
      <c r="H491" s="24"/>
      <c r="J491" s="18" t="str">
        <f aca="false">IF(F491="","",F491*G491)</f>
        <v/>
      </c>
      <c r="K491" s="5" t="str">
        <f aca="false">IF(A491="","",IF(H491&lt;&gt;"",Assumptions!$D$5-H491,IF(C491="","",Assumptions!$D$5-(C491+Assumptions!$B$8))))</f>
        <v/>
      </c>
      <c r="L491" s="5" t="str">
        <f aca="false">IF(K491="","",IF(K491&lt;0,"Phase 1 (unliquidated)",IF(K491&lt;=Assumptions!$B$7,"Phase 1 (recently liquidated)",IF(K491&lt;=Assumptions!$B$6,"Protest required","Deadline passed — litigation only"))))</f>
        <v/>
      </c>
      <c r="M491" s="20" t="str">
        <f aca="false">IF(K491="","",IF(H491&lt;&gt;"",H491+Assumptions!$B$6,C491+Assumptions!$B$8+Assumptions!$B$6))</f>
        <v/>
      </c>
      <c r="N491" s="20" t="str">
        <f aca="false">IF(K491="","",IF(K491&lt;0,IF(H491&lt;&gt;"",H491+Assumptions!$B$7,C491+Assumptions!$B$8+Assumptions!$B$7),M491))</f>
        <v/>
      </c>
      <c r="O491" s="21" t="str">
        <f aca="false">IF(N491="","",N491-Assumptions!$D$5)</f>
        <v/>
      </c>
      <c r="P491" s="22"/>
      <c r="Q491" s="22"/>
      <c r="R491" s="18" t="str">
        <f aca="false">IF(Q491="","",Q491*IF(LEFT(L491,7)="Phase 1",Assumptions!$B$11,Assumptions!$B$12))</f>
        <v/>
      </c>
    </row>
    <row r="492" customFormat="false" ht="15" hidden="false" customHeight="true" outlineLevel="0" collapsed="false">
      <c r="C492" s="24"/>
      <c r="F492" s="22"/>
      <c r="G492" s="23"/>
      <c r="H492" s="24"/>
      <c r="J492" s="18" t="str">
        <f aca="false">IF(F492="","",F492*G492)</f>
        <v/>
      </c>
      <c r="K492" s="5" t="str">
        <f aca="false">IF(A492="","",IF(H492&lt;&gt;"",Assumptions!$D$5-H492,IF(C492="","",Assumptions!$D$5-(C492+Assumptions!$B$8))))</f>
        <v/>
      </c>
      <c r="L492" s="5" t="str">
        <f aca="false">IF(K492="","",IF(K492&lt;0,"Phase 1 (unliquidated)",IF(K492&lt;=Assumptions!$B$7,"Phase 1 (recently liquidated)",IF(K492&lt;=Assumptions!$B$6,"Protest required","Deadline passed — litigation only"))))</f>
        <v/>
      </c>
      <c r="M492" s="20" t="str">
        <f aca="false">IF(K492="","",IF(H492&lt;&gt;"",H492+Assumptions!$B$6,C492+Assumptions!$B$8+Assumptions!$B$6))</f>
        <v/>
      </c>
      <c r="N492" s="20" t="str">
        <f aca="false">IF(K492="","",IF(K492&lt;0,IF(H492&lt;&gt;"",H492+Assumptions!$B$7,C492+Assumptions!$B$8+Assumptions!$B$7),M492))</f>
        <v/>
      </c>
      <c r="O492" s="21" t="str">
        <f aca="false">IF(N492="","",N492-Assumptions!$D$5)</f>
        <v/>
      </c>
      <c r="P492" s="22"/>
      <c r="Q492" s="22"/>
      <c r="R492" s="18" t="str">
        <f aca="false">IF(Q492="","",Q492*IF(LEFT(L492,7)="Phase 1",Assumptions!$B$11,Assumptions!$B$12))</f>
        <v/>
      </c>
    </row>
    <row r="493" customFormat="false" ht="15" hidden="false" customHeight="true" outlineLevel="0" collapsed="false">
      <c r="C493" s="24"/>
      <c r="F493" s="22"/>
      <c r="G493" s="23"/>
      <c r="H493" s="24"/>
      <c r="J493" s="18" t="str">
        <f aca="false">IF(F493="","",F493*G493)</f>
        <v/>
      </c>
      <c r="K493" s="5" t="str">
        <f aca="false">IF(A493="","",IF(H493&lt;&gt;"",Assumptions!$D$5-H493,IF(C493="","",Assumptions!$D$5-(C493+Assumptions!$B$8))))</f>
        <v/>
      </c>
      <c r="L493" s="5" t="str">
        <f aca="false">IF(K493="","",IF(K493&lt;0,"Phase 1 (unliquidated)",IF(K493&lt;=Assumptions!$B$7,"Phase 1 (recently liquidated)",IF(K493&lt;=Assumptions!$B$6,"Protest required","Deadline passed — litigation only"))))</f>
        <v/>
      </c>
      <c r="M493" s="20" t="str">
        <f aca="false">IF(K493="","",IF(H493&lt;&gt;"",H493+Assumptions!$B$6,C493+Assumptions!$B$8+Assumptions!$B$6))</f>
        <v/>
      </c>
      <c r="N493" s="20" t="str">
        <f aca="false">IF(K493="","",IF(K493&lt;0,IF(H493&lt;&gt;"",H493+Assumptions!$B$7,C493+Assumptions!$B$8+Assumptions!$B$7),M493))</f>
        <v/>
      </c>
      <c r="O493" s="21" t="str">
        <f aca="false">IF(N493="","",N493-Assumptions!$D$5)</f>
        <v/>
      </c>
      <c r="P493" s="22"/>
      <c r="Q493" s="22"/>
      <c r="R493" s="18" t="str">
        <f aca="false">IF(Q493="","",Q493*IF(LEFT(L493,7)="Phase 1",Assumptions!$B$11,Assumptions!$B$12))</f>
        <v/>
      </c>
    </row>
    <row r="494" customFormat="false" ht="15" hidden="false" customHeight="true" outlineLevel="0" collapsed="false">
      <c r="C494" s="24"/>
      <c r="F494" s="22"/>
      <c r="G494" s="23"/>
      <c r="H494" s="24"/>
      <c r="J494" s="18" t="str">
        <f aca="false">IF(F494="","",F494*G494)</f>
        <v/>
      </c>
      <c r="K494" s="5" t="str">
        <f aca="false">IF(A494="","",IF(H494&lt;&gt;"",Assumptions!$D$5-H494,IF(C494="","",Assumptions!$D$5-(C494+Assumptions!$B$8))))</f>
        <v/>
      </c>
      <c r="L494" s="5" t="str">
        <f aca="false">IF(K494="","",IF(K494&lt;0,"Phase 1 (unliquidated)",IF(K494&lt;=Assumptions!$B$7,"Phase 1 (recently liquidated)",IF(K494&lt;=Assumptions!$B$6,"Protest required","Deadline passed — litigation only"))))</f>
        <v/>
      </c>
      <c r="M494" s="20" t="str">
        <f aca="false">IF(K494="","",IF(H494&lt;&gt;"",H494+Assumptions!$B$6,C494+Assumptions!$B$8+Assumptions!$B$6))</f>
        <v/>
      </c>
      <c r="N494" s="20" t="str">
        <f aca="false">IF(K494="","",IF(K494&lt;0,IF(H494&lt;&gt;"",H494+Assumptions!$B$7,C494+Assumptions!$B$8+Assumptions!$B$7),M494))</f>
        <v/>
      </c>
      <c r="O494" s="21" t="str">
        <f aca="false">IF(N494="","",N494-Assumptions!$D$5)</f>
        <v/>
      </c>
      <c r="P494" s="22"/>
      <c r="Q494" s="22"/>
      <c r="R494" s="18" t="str">
        <f aca="false">IF(Q494="","",Q494*IF(LEFT(L494,7)="Phase 1",Assumptions!$B$11,Assumptions!$B$12))</f>
        <v/>
      </c>
    </row>
    <row r="495" customFormat="false" ht="15" hidden="false" customHeight="true" outlineLevel="0" collapsed="false">
      <c r="C495" s="24"/>
      <c r="F495" s="22"/>
      <c r="G495" s="23"/>
      <c r="H495" s="24"/>
      <c r="J495" s="18" t="str">
        <f aca="false">IF(F495="","",F495*G495)</f>
        <v/>
      </c>
      <c r="K495" s="5" t="str">
        <f aca="false">IF(A495="","",IF(H495&lt;&gt;"",Assumptions!$D$5-H495,IF(C495="","",Assumptions!$D$5-(C495+Assumptions!$B$8))))</f>
        <v/>
      </c>
      <c r="L495" s="5" t="str">
        <f aca="false">IF(K495="","",IF(K495&lt;0,"Phase 1 (unliquidated)",IF(K495&lt;=Assumptions!$B$7,"Phase 1 (recently liquidated)",IF(K495&lt;=Assumptions!$B$6,"Protest required","Deadline passed — litigation only"))))</f>
        <v/>
      </c>
      <c r="M495" s="20" t="str">
        <f aca="false">IF(K495="","",IF(H495&lt;&gt;"",H495+Assumptions!$B$6,C495+Assumptions!$B$8+Assumptions!$B$6))</f>
        <v/>
      </c>
      <c r="N495" s="20" t="str">
        <f aca="false">IF(K495="","",IF(K495&lt;0,IF(H495&lt;&gt;"",H495+Assumptions!$B$7,C495+Assumptions!$B$8+Assumptions!$B$7),M495))</f>
        <v/>
      </c>
      <c r="O495" s="21" t="str">
        <f aca="false">IF(N495="","",N495-Assumptions!$D$5)</f>
        <v/>
      </c>
      <c r="P495" s="22"/>
      <c r="Q495" s="22"/>
      <c r="R495" s="18" t="str">
        <f aca="false">IF(Q495="","",Q495*IF(LEFT(L495,7)="Phase 1",Assumptions!$B$11,Assumptions!$B$12))</f>
        <v/>
      </c>
    </row>
    <row r="496" customFormat="false" ht="15" hidden="false" customHeight="true" outlineLevel="0" collapsed="false">
      <c r="C496" s="24"/>
      <c r="F496" s="22"/>
      <c r="G496" s="23"/>
      <c r="H496" s="24"/>
      <c r="J496" s="18" t="str">
        <f aca="false">IF(F496="","",F496*G496)</f>
        <v/>
      </c>
      <c r="K496" s="5" t="str">
        <f aca="false">IF(A496="","",IF(H496&lt;&gt;"",Assumptions!$D$5-H496,IF(C496="","",Assumptions!$D$5-(C496+Assumptions!$B$8))))</f>
        <v/>
      </c>
      <c r="L496" s="5" t="str">
        <f aca="false">IF(K496="","",IF(K496&lt;0,"Phase 1 (unliquidated)",IF(K496&lt;=Assumptions!$B$7,"Phase 1 (recently liquidated)",IF(K496&lt;=Assumptions!$B$6,"Protest required","Deadline passed — litigation only"))))</f>
        <v/>
      </c>
      <c r="M496" s="20" t="str">
        <f aca="false">IF(K496="","",IF(H496&lt;&gt;"",H496+Assumptions!$B$6,C496+Assumptions!$B$8+Assumptions!$B$6))</f>
        <v/>
      </c>
      <c r="N496" s="20" t="str">
        <f aca="false">IF(K496="","",IF(K496&lt;0,IF(H496&lt;&gt;"",H496+Assumptions!$B$7,C496+Assumptions!$B$8+Assumptions!$B$7),M496))</f>
        <v/>
      </c>
      <c r="O496" s="21" t="str">
        <f aca="false">IF(N496="","",N496-Assumptions!$D$5)</f>
        <v/>
      </c>
      <c r="P496" s="22"/>
      <c r="Q496" s="22"/>
      <c r="R496" s="18" t="str">
        <f aca="false">IF(Q496="","",Q496*IF(LEFT(L496,7)="Phase 1",Assumptions!$B$11,Assumptions!$B$12))</f>
        <v/>
      </c>
    </row>
    <row r="497" customFormat="false" ht="15" hidden="false" customHeight="true" outlineLevel="0" collapsed="false">
      <c r="C497" s="24"/>
      <c r="F497" s="22"/>
      <c r="G497" s="23"/>
      <c r="H497" s="24"/>
      <c r="J497" s="18" t="str">
        <f aca="false">IF(F497="","",F497*G497)</f>
        <v/>
      </c>
      <c r="K497" s="5" t="str">
        <f aca="false">IF(A497="","",IF(H497&lt;&gt;"",Assumptions!$D$5-H497,IF(C497="","",Assumptions!$D$5-(C497+Assumptions!$B$8))))</f>
        <v/>
      </c>
      <c r="L497" s="5" t="str">
        <f aca="false">IF(K497="","",IF(K497&lt;0,"Phase 1 (unliquidated)",IF(K497&lt;=Assumptions!$B$7,"Phase 1 (recently liquidated)",IF(K497&lt;=Assumptions!$B$6,"Protest required","Deadline passed — litigation only"))))</f>
        <v/>
      </c>
      <c r="M497" s="20" t="str">
        <f aca="false">IF(K497="","",IF(H497&lt;&gt;"",H497+Assumptions!$B$6,C497+Assumptions!$B$8+Assumptions!$B$6))</f>
        <v/>
      </c>
      <c r="N497" s="20" t="str">
        <f aca="false">IF(K497="","",IF(K497&lt;0,IF(H497&lt;&gt;"",H497+Assumptions!$B$7,C497+Assumptions!$B$8+Assumptions!$B$7),M497))</f>
        <v/>
      </c>
      <c r="O497" s="21" t="str">
        <f aca="false">IF(N497="","",N497-Assumptions!$D$5)</f>
        <v/>
      </c>
      <c r="P497" s="22"/>
      <c r="Q497" s="22"/>
      <c r="R497" s="18" t="str">
        <f aca="false">IF(Q497="","",Q497*IF(LEFT(L497,7)="Phase 1",Assumptions!$B$11,Assumptions!$B$12))</f>
        <v/>
      </c>
    </row>
    <row r="498" customFormat="false" ht="15" hidden="false" customHeight="true" outlineLevel="0" collapsed="false">
      <c r="C498" s="24"/>
      <c r="F498" s="22"/>
      <c r="G498" s="23"/>
      <c r="H498" s="24"/>
      <c r="J498" s="18" t="str">
        <f aca="false">IF(F498="","",F498*G498)</f>
        <v/>
      </c>
      <c r="K498" s="5" t="str">
        <f aca="false">IF(A498="","",IF(H498&lt;&gt;"",Assumptions!$D$5-H498,IF(C498="","",Assumptions!$D$5-(C498+Assumptions!$B$8))))</f>
        <v/>
      </c>
      <c r="L498" s="5" t="str">
        <f aca="false">IF(K498="","",IF(K498&lt;0,"Phase 1 (unliquidated)",IF(K498&lt;=Assumptions!$B$7,"Phase 1 (recently liquidated)",IF(K498&lt;=Assumptions!$B$6,"Protest required","Deadline passed — litigation only"))))</f>
        <v/>
      </c>
      <c r="M498" s="20" t="str">
        <f aca="false">IF(K498="","",IF(H498&lt;&gt;"",H498+Assumptions!$B$6,C498+Assumptions!$B$8+Assumptions!$B$6))</f>
        <v/>
      </c>
      <c r="N498" s="20" t="str">
        <f aca="false">IF(K498="","",IF(K498&lt;0,IF(H498&lt;&gt;"",H498+Assumptions!$B$7,C498+Assumptions!$B$8+Assumptions!$B$7),M498))</f>
        <v/>
      </c>
      <c r="O498" s="21" t="str">
        <f aca="false">IF(N498="","",N498-Assumptions!$D$5)</f>
        <v/>
      </c>
      <c r="P498" s="22"/>
      <c r="Q498" s="22"/>
      <c r="R498" s="18" t="str">
        <f aca="false">IF(Q498="","",Q498*IF(LEFT(L498,7)="Phase 1",Assumptions!$B$11,Assumptions!$B$12))</f>
        <v/>
      </c>
    </row>
    <row r="499" customFormat="false" ht="15" hidden="false" customHeight="true" outlineLevel="0" collapsed="false">
      <c r="C499" s="24"/>
      <c r="F499" s="22"/>
      <c r="G499" s="23"/>
      <c r="H499" s="24"/>
      <c r="J499" s="18" t="str">
        <f aca="false">IF(F499="","",F499*G499)</f>
        <v/>
      </c>
      <c r="K499" s="5" t="str">
        <f aca="false">IF(A499="","",IF(H499&lt;&gt;"",Assumptions!$D$5-H499,IF(C499="","",Assumptions!$D$5-(C499+Assumptions!$B$8))))</f>
        <v/>
      </c>
      <c r="L499" s="5" t="str">
        <f aca="false">IF(K499="","",IF(K499&lt;0,"Phase 1 (unliquidated)",IF(K499&lt;=Assumptions!$B$7,"Phase 1 (recently liquidated)",IF(K499&lt;=Assumptions!$B$6,"Protest required","Deadline passed — litigation only"))))</f>
        <v/>
      </c>
      <c r="M499" s="20" t="str">
        <f aca="false">IF(K499="","",IF(H499&lt;&gt;"",H499+Assumptions!$B$6,C499+Assumptions!$B$8+Assumptions!$B$6))</f>
        <v/>
      </c>
      <c r="N499" s="20" t="str">
        <f aca="false">IF(K499="","",IF(K499&lt;0,IF(H499&lt;&gt;"",H499+Assumptions!$B$7,C499+Assumptions!$B$8+Assumptions!$B$7),M499))</f>
        <v/>
      </c>
      <c r="O499" s="21" t="str">
        <f aca="false">IF(N499="","",N499-Assumptions!$D$5)</f>
        <v/>
      </c>
      <c r="P499" s="22"/>
      <c r="Q499" s="22"/>
      <c r="R499" s="18" t="str">
        <f aca="false">IF(Q499="","",Q499*IF(LEFT(L499,7)="Phase 1",Assumptions!$B$11,Assumptions!$B$12))</f>
        <v/>
      </c>
    </row>
    <row r="500" customFormat="false" ht="15" hidden="false" customHeight="true" outlineLevel="0" collapsed="false">
      <c r="C500" s="24"/>
      <c r="F500" s="22"/>
      <c r="G500" s="23"/>
      <c r="H500" s="24"/>
      <c r="J500" s="18" t="str">
        <f aca="false">IF(F500="","",F500*G500)</f>
        <v/>
      </c>
      <c r="K500" s="5" t="str">
        <f aca="false">IF(A500="","",IF(H500&lt;&gt;"",Assumptions!$D$5-H500,IF(C500="","",Assumptions!$D$5-(C500+Assumptions!$B$8))))</f>
        <v/>
      </c>
      <c r="L500" s="5" t="str">
        <f aca="false">IF(K500="","",IF(K500&lt;0,"Phase 1 (unliquidated)",IF(K500&lt;=Assumptions!$B$7,"Phase 1 (recently liquidated)",IF(K500&lt;=Assumptions!$B$6,"Protest required","Deadline passed — litigation only"))))</f>
        <v/>
      </c>
      <c r="M500" s="20" t="str">
        <f aca="false">IF(K500="","",IF(H500&lt;&gt;"",H500+Assumptions!$B$6,C500+Assumptions!$B$8+Assumptions!$B$6))</f>
        <v/>
      </c>
      <c r="N500" s="20" t="str">
        <f aca="false">IF(K500="","",IF(K500&lt;0,IF(H500&lt;&gt;"",H500+Assumptions!$B$7,C500+Assumptions!$B$8+Assumptions!$B$7),M500))</f>
        <v/>
      </c>
      <c r="O500" s="21" t="str">
        <f aca="false">IF(N500="","",N500-Assumptions!$D$5)</f>
        <v/>
      </c>
      <c r="P500" s="22"/>
      <c r="Q500" s="22"/>
      <c r="R500" s="18" t="str">
        <f aca="false">IF(Q500="","",Q500*IF(LEFT(L500,7)="Phase 1",Assumptions!$B$11,Assumptions!$B$12))</f>
        <v/>
      </c>
    </row>
    <row r="501" customFormat="false" ht="15" hidden="false" customHeight="true" outlineLevel="0" collapsed="false">
      <c r="C501" s="24"/>
      <c r="F501" s="22"/>
      <c r="G501" s="23"/>
      <c r="H501" s="24"/>
      <c r="J501" s="18" t="str">
        <f aca="false">IF(F501="","",F501*G501)</f>
        <v/>
      </c>
      <c r="K501" s="5" t="str">
        <f aca="false">IF(A501="","",IF(H501&lt;&gt;"",Assumptions!$D$5-H501,IF(C501="","",Assumptions!$D$5-(C501+Assumptions!$B$8))))</f>
        <v/>
      </c>
      <c r="L501" s="5" t="str">
        <f aca="false">IF(K501="","",IF(K501&lt;0,"Phase 1 (unliquidated)",IF(K501&lt;=Assumptions!$B$7,"Phase 1 (recently liquidated)",IF(K501&lt;=Assumptions!$B$6,"Protest required","Deadline passed — litigation only"))))</f>
        <v/>
      </c>
      <c r="M501" s="20" t="str">
        <f aca="false">IF(K501="","",IF(H501&lt;&gt;"",H501+Assumptions!$B$6,C501+Assumptions!$B$8+Assumptions!$B$6))</f>
        <v/>
      </c>
      <c r="N501" s="20" t="str">
        <f aca="false">IF(K501="","",IF(K501&lt;0,IF(H501&lt;&gt;"",H501+Assumptions!$B$7,C501+Assumptions!$B$8+Assumptions!$B$7),M501))</f>
        <v/>
      </c>
      <c r="O501" s="21" t="str">
        <f aca="false">IF(N501="","",N501-Assumptions!$D$5)</f>
        <v/>
      </c>
      <c r="P501" s="22"/>
      <c r="Q501" s="22"/>
      <c r="R501" s="18" t="str">
        <f aca="false">IF(Q501="","",Q501*IF(LEFT(L501,7)="Phase 1",Assumptions!$B$11,Assumptions!$B$12))</f>
        <v/>
      </c>
    </row>
    <row r="502" customFormat="false" ht="15" hidden="false" customHeight="true" outlineLevel="0" collapsed="false">
      <c r="C502" s="24"/>
      <c r="F502" s="22"/>
      <c r="G502" s="23"/>
      <c r="H502" s="24"/>
      <c r="J502" s="18" t="str">
        <f aca="false">IF(F502="","",F502*G502)</f>
        <v/>
      </c>
      <c r="K502" s="5" t="str">
        <f aca="false">IF(A502="","",IF(H502&lt;&gt;"",Assumptions!$D$5-H502,IF(C502="","",Assumptions!$D$5-(C502+Assumptions!$B$8))))</f>
        <v/>
      </c>
      <c r="L502" s="5" t="str">
        <f aca="false">IF(K502="","",IF(K502&lt;0,"Phase 1 (unliquidated)",IF(K502&lt;=Assumptions!$B$7,"Phase 1 (recently liquidated)",IF(K502&lt;=Assumptions!$B$6,"Protest required","Deadline passed — litigation only"))))</f>
        <v/>
      </c>
      <c r="M502" s="20" t="str">
        <f aca="false">IF(K502="","",IF(H502&lt;&gt;"",H502+Assumptions!$B$6,C502+Assumptions!$B$8+Assumptions!$B$6))</f>
        <v/>
      </c>
      <c r="N502" s="20" t="str">
        <f aca="false">IF(K502="","",IF(K502&lt;0,IF(H502&lt;&gt;"",H502+Assumptions!$B$7,C502+Assumptions!$B$8+Assumptions!$B$7),M502))</f>
        <v/>
      </c>
      <c r="O502" s="21" t="str">
        <f aca="false">IF(N502="","",N502-Assumptions!$D$5)</f>
        <v/>
      </c>
      <c r="P502" s="22"/>
      <c r="Q502" s="22"/>
      <c r="R502" s="18" t="str">
        <f aca="false">IF(Q502="","",Q502*IF(LEFT(L502,7)="Phase 1",Assumptions!$B$11,Assumptions!$B$12))</f>
        <v/>
      </c>
    </row>
    <row r="503" customFormat="false" ht="15" hidden="false" customHeight="true" outlineLevel="0" collapsed="false">
      <c r="C503" s="24"/>
      <c r="F503" s="22"/>
      <c r="G503" s="23"/>
      <c r="H503" s="24"/>
      <c r="J503" s="18" t="str">
        <f aca="false">IF(F503="","",F503*G503)</f>
        <v/>
      </c>
      <c r="K503" s="5" t="str">
        <f aca="false">IF(A503="","",IF(H503&lt;&gt;"",Assumptions!$D$5-H503,IF(C503="","",Assumptions!$D$5-(C503+Assumptions!$B$8))))</f>
        <v/>
      </c>
      <c r="L503" s="5" t="str">
        <f aca="false">IF(K503="","",IF(K503&lt;0,"Phase 1 (unliquidated)",IF(K503&lt;=Assumptions!$B$7,"Phase 1 (recently liquidated)",IF(K503&lt;=Assumptions!$B$6,"Protest required","Deadline passed — litigation only"))))</f>
        <v/>
      </c>
      <c r="M503" s="20" t="str">
        <f aca="false">IF(K503="","",IF(H503&lt;&gt;"",H503+Assumptions!$B$6,C503+Assumptions!$B$8+Assumptions!$B$6))</f>
        <v/>
      </c>
      <c r="N503" s="20" t="str">
        <f aca="false">IF(K503="","",IF(K503&lt;0,IF(H503&lt;&gt;"",H503+Assumptions!$B$7,C503+Assumptions!$B$8+Assumptions!$B$7),M503))</f>
        <v/>
      </c>
      <c r="O503" s="21" t="str">
        <f aca="false">IF(N503="","",N503-Assumptions!$D$5)</f>
        <v/>
      </c>
      <c r="P503" s="22"/>
      <c r="Q503" s="22"/>
      <c r="R503" s="18" t="str">
        <f aca="false">IF(Q503="","",Q503*IF(LEFT(L503,7)="Phase 1",Assumptions!$B$11,Assumptions!$B$12))</f>
        <v/>
      </c>
    </row>
    <row r="504" customFormat="false" ht="15" hidden="false" customHeight="true" outlineLevel="0" collapsed="false">
      <c r="C504" s="24"/>
      <c r="F504" s="22"/>
      <c r="G504" s="23"/>
      <c r="H504" s="24"/>
      <c r="J504" s="18" t="str">
        <f aca="false">IF(F504="","",F504*G504)</f>
        <v/>
      </c>
      <c r="K504" s="5" t="str">
        <f aca="false">IF(A504="","",IF(H504&lt;&gt;"",Assumptions!$D$5-H504,IF(C504="","",Assumptions!$D$5-(C504+Assumptions!$B$8))))</f>
        <v/>
      </c>
      <c r="L504" s="5" t="str">
        <f aca="false">IF(K504="","",IF(K504&lt;0,"Phase 1 (unliquidated)",IF(K504&lt;=Assumptions!$B$7,"Phase 1 (recently liquidated)",IF(K504&lt;=Assumptions!$B$6,"Protest required","Deadline passed — litigation only"))))</f>
        <v/>
      </c>
      <c r="M504" s="20" t="str">
        <f aca="false">IF(K504="","",IF(H504&lt;&gt;"",H504+Assumptions!$B$6,C504+Assumptions!$B$8+Assumptions!$B$6))</f>
        <v/>
      </c>
      <c r="N504" s="20" t="str">
        <f aca="false">IF(K504="","",IF(K504&lt;0,IF(H504&lt;&gt;"",H504+Assumptions!$B$7,C504+Assumptions!$B$8+Assumptions!$B$7),M504))</f>
        <v/>
      </c>
      <c r="O504" s="21" t="str">
        <f aca="false">IF(N504="","",N504-Assumptions!$D$5)</f>
        <v/>
      </c>
      <c r="P504" s="22"/>
      <c r="Q504" s="22"/>
      <c r="R504" s="18" t="str">
        <f aca="false">IF(Q504="","",Q504*IF(LEFT(L504,7)="Phase 1",Assumptions!$B$11,Assumptions!$B$12))</f>
        <v/>
      </c>
    </row>
    <row r="505" customFormat="false" ht="15" hidden="false" customHeight="true" outlineLevel="0" collapsed="false">
      <c r="C505" s="24"/>
      <c r="F505" s="22"/>
      <c r="G505" s="23"/>
      <c r="H505" s="24"/>
      <c r="J505" s="18" t="str">
        <f aca="false">IF(F505="","",F505*G505)</f>
        <v/>
      </c>
      <c r="K505" s="5" t="str">
        <f aca="false">IF(A505="","",IF(H505&lt;&gt;"",Assumptions!$D$5-H505,IF(C505="","",Assumptions!$D$5-(C505+Assumptions!$B$8))))</f>
        <v/>
      </c>
      <c r="L505" s="5" t="str">
        <f aca="false">IF(K505="","",IF(K505&lt;0,"Phase 1 (unliquidated)",IF(K505&lt;=Assumptions!$B$7,"Phase 1 (recently liquidated)",IF(K505&lt;=Assumptions!$B$6,"Protest required","Deadline passed — litigation only"))))</f>
        <v/>
      </c>
      <c r="M505" s="20" t="str">
        <f aca="false">IF(K505="","",IF(H505&lt;&gt;"",H505+Assumptions!$B$6,C505+Assumptions!$B$8+Assumptions!$B$6))</f>
        <v/>
      </c>
      <c r="N505" s="20" t="str">
        <f aca="false">IF(K505="","",IF(K505&lt;0,IF(H505&lt;&gt;"",H505+Assumptions!$B$7,C505+Assumptions!$B$8+Assumptions!$B$7),M505))</f>
        <v/>
      </c>
      <c r="O505" s="21" t="str">
        <f aca="false">IF(N505="","",N505-Assumptions!$D$5)</f>
        <v/>
      </c>
      <c r="P505" s="22"/>
      <c r="Q505" s="22"/>
      <c r="R505" s="18" t="str">
        <f aca="false">IF(Q505="","",Q505*IF(LEFT(L505,7)="Phase 1",Assumptions!$B$11,Assumptions!$B$12))</f>
        <v/>
      </c>
    </row>
    <row r="506" customFormat="false" ht="15" hidden="false" customHeight="true" outlineLevel="0" collapsed="false">
      <c r="C506" s="24"/>
      <c r="F506" s="22"/>
      <c r="G506" s="23"/>
      <c r="H506" s="24"/>
      <c r="J506" s="18" t="str">
        <f aca="false">IF(F506="","",F506*G506)</f>
        <v/>
      </c>
      <c r="K506" s="5" t="str">
        <f aca="false">IF(A506="","",IF(H506&lt;&gt;"",Assumptions!$D$5-H506,IF(C506="","",Assumptions!$D$5-(C506+Assumptions!$B$8))))</f>
        <v/>
      </c>
      <c r="L506" s="5" t="str">
        <f aca="false">IF(K506="","",IF(K506&lt;0,"Phase 1 (unliquidated)",IF(K506&lt;=Assumptions!$B$7,"Phase 1 (recently liquidated)",IF(K506&lt;=Assumptions!$B$6,"Protest required","Deadline passed — litigation only"))))</f>
        <v/>
      </c>
      <c r="M506" s="20" t="str">
        <f aca="false">IF(K506="","",IF(H506&lt;&gt;"",H506+Assumptions!$B$6,C506+Assumptions!$B$8+Assumptions!$B$6))</f>
        <v/>
      </c>
      <c r="N506" s="20" t="str">
        <f aca="false">IF(K506="","",IF(K506&lt;0,IF(H506&lt;&gt;"",H506+Assumptions!$B$7,C506+Assumptions!$B$8+Assumptions!$B$7),M506))</f>
        <v/>
      </c>
      <c r="O506" s="21" t="str">
        <f aca="false">IF(N506="","",N506-Assumptions!$D$5)</f>
        <v/>
      </c>
      <c r="P506" s="22"/>
      <c r="Q506" s="22"/>
      <c r="R506" s="18" t="str">
        <f aca="false">IF(Q506="","",Q506*IF(LEFT(L506,7)="Phase 1",Assumptions!$B$11,Assumptions!$B$12))</f>
        <v/>
      </c>
    </row>
    <row r="507" customFormat="false" ht="15" hidden="false" customHeight="true" outlineLevel="0" collapsed="false">
      <c r="C507" s="24"/>
      <c r="F507" s="22"/>
      <c r="G507" s="23"/>
      <c r="H507" s="24"/>
      <c r="J507" s="18" t="str">
        <f aca="false">IF(F507="","",F507*G507)</f>
        <v/>
      </c>
      <c r="K507" s="5" t="str">
        <f aca="false">IF(A507="","",IF(H507&lt;&gt;"",Assumptions!$D$5-H507,IF(C507="","",Assumptions!$D$5-(C507+Assumptions!$B$8))))</f>
        <v/>
      </c>
      <c r="L507" s="5" t="str">
        <f aca="false">IF(K507="","",IF(K507&lt;0,"Phase 1 (unliquidated)",IF(K507&lt;=Assumptions!$B$7,"Phase 1 (recently liquidated)",IF(K507&lt;=Assumptions!$B$6,"Protest required","Deadline passed — litigation only"))))</f>
        <v/>
      </c>
      <c r="M507" s="20" t="str">
        <f aca="false">IF(K507="","",IF(H507&lt;&gt;"",H507+Assumptions!$B$6,C507+Assumptions!$B$8+Assumptions!$B$6))</f>
        <v/>
      </c>
      <c r="N507" s="20" t="str">
        <f aca="false">IF(K507="","",IF(K507&lt;0,IF(H507&lt;&gt;"",H507+Assumptions!$B$7,C507+Assumptions!$B$8+Assumptions!$B$7),M507))</f>
        <v/>
      </c>
      <c r="O507" s="21" t="str">
        <f aca="false">IF(N507="","",N507-Assumptions!$D$5)</f>
        <v/>
      </c>
      <c r="P507" s="22"/>
      <c r="Q507" s="22"/>
      <c r="R507" s="18" t="str">
        <f aca="false">IF(Q507="","",Q507*IF(LEFT(L507,7)="Phase 1",Assumptions!$B$11,Assumptions!$B$12))</f>
        <v/>
      </c>
    </row>
    <row r="508" customFormat="false" ht="15" hidden="false" customHeight="true" outlineLevel="0" collapsed="false">
      <c r="C508" s="24"/>
      <c r="F508" s="22"/>
      <c r="G508" s="23"/>
      <c r="H508" s="24"/>
      <c r="J508" s="18" t="str">
        <f aca="false">IF(F508="","",F508*G508)</f>
        <v/>
      </c>
      <c r="K508" s="5" t="str">
        <f aca="false">IF(A508="","",IF(H508&lt;&gt;"",Assumptions!$D$5-H508,IF(C508="","",Assumptions!$D$5-(C508+Assumptions!$B$8))))</f>
        <v/>
      </c>
      <c r="L508" s="5" t="str">
        <f aca="false">IF(K508="","",IF(K508&lt;0,"Phase 1 (unliquidated)",IF(K508&lt;=Assumptions!$B$7,"Phase 1 (recently liquidated)",IF(K508&lt;=Assumptions!$B$6,"Protest required","Deadline passed — litigation only"))))</f>
        <v/>
      </c>
      <c r="M508" s="20" t="str">
        <f aca="false">IF(K508="","",IF(H508&lt;&gt;"",H508+Assumptions!$B$6,C508+Assumptions!$B$8+Assumptions!$B$6))</f>
        <v/>
      </c>
      <c r="N508" s="20" t="str">
        <f aca="false">IF(K508="","",IF(K508&lt;0,IF(H508&lt;&gt;"",H508+Assumptions!$B$7,C508+Assumptions!$B$8+Assumptions!$B$7),M508))</f>
        <v/>
      </c>
      <c r="O508" s="21" t="str">
        <f aca="false">IF(N508="","",N508-Assumptions!$D$5)</f>
        <v/>
      </c>
      <c r="P508" s="22"/>
      <c r="Q508" s="22"/>
      <c r="R508" s="18" t="str">
        <f aca="false">IF(Q508="","",Q508*IF(LEFT(L508,7)="Phase 1",Assumptions!$B$11,Assumptions!$B$12))</f>
        <v/>
      </c>
    </row>
    <row r="509" customFormat="false" ht="15" hidden="false" customHeight="true" outlineLevel="0" collapsed="false">
      <c r="C509" s="24"/>
      <c r="F509" s="22"/>
      <c r="G509" s="23"/>
      <c r="H509" s="24"/>
      <c r="J509" s="18" t="str">
        <f aca="false">IF(F509="","",F509*G509)</f>
        <v/>
      </c>
      <c r="K509" s="5" t="str">
        <f aca="false">IF(A509="","",IF(H509&lt;&gt;"",Assumptions!$D$5-H509,IF(C509="","",Assumptions!$D$5-(C509+Assumptions!$B$8))))</f>
        <v/>
      </c>
      <c r="L509" s="5" t="str">
        <f aca="false">IF(K509="","",IF(K509&lt;0,"Phase 1 (unliquidated)",IF(K509&lt;=Assumptions!$B$7,"Phase 1 (recently liquidated)",IF(K509&lt;=Assumptions!$B$6,"Protest required","Deadline passed — litigation only"))))</f>
        <v/>
      </c>
      <c r="M509" s="20" t="str">
        <f aca="false">IF(K509="","",IF(H509&lt;&gt;"",H509+Assumptions!$B$6,C509+Assumptions!$B$8+Assumptions!$B$6))</f>
        <v/>
      </c>
      <c r="N509" s="20" t="str">
        <f aca="false">IF(K509="","",IF(K509&lt;0,IF(H509&lt;&gt;"",H509+Assumptions!$B$7,C509+Assumptions!$B$8+Assumptions!$B$7),M509))</f>
        <v/>
      </c>
      <c r="O509" s="21" t="str">
        <f aca="false">IF(N509="","",N509-Assumptions!$D$5)</f>
        <v/>
      </c>
      <c r="P509" s="22"/>
      <c r="Q509" s="22"/>
      <c r="R509" s="18" t="str">
        <f aca="false">IF(Q509="","",Q509*IF(LEFT(L509,7)="Phase 1",Assumptions!$B$11,Assumptions!$B$12))</f>
        <v/>
      </c>
    </row>
    <row r="510" customFormat="false" ht="15" hidden="false" customHeight="true" outlineLevel="0" collapsed="false">
      <c r="C510" s="24"/>
      <c r="F510" s="22"/>
      <c r="G510" s="23"/>
      <c r="H510" s="24"/>
      <c r="J510" s="18" t="str">
        <f aca="false">IF(F510="","",F510*G510)</f>
        <v/>
      </c>
      <c r="K510" s="5" t="str">
        <f aca="false">IF(A510="","",IF(H510&lt;&gt;"",Assumptions!$D$5-H510,IF(C510="","",Assumptions!$D$5-(C510+Assumptions!$B$8))))</f>
        <v/>
      </c>
      <c r="L510" s="5" t="str">
        <f aca="false">IF(K510="","",IF(K510&lt;0,"Phase 1 (unliquidated)",IF(K510&lt;=Assumptions!$B$7,"Phase 1 (recently liquidated)",IF(K510&lt;=Assumptions!$B$6,"Protest required","Deadline passed — litigation only"))))</f>
        <v/>
      </c>
      <c r="M510" s="20" t="str">
        <f aca="false">IF(K510="","",IF(H510&lt;&gt;"",H510+Assumptions!$B$6,C510+Assumptions!$B$8+Assumptions!$B$6))</f>
        <v/>
      </c>
      <c r="N510" s="20" t="str">
        <f aca="false">IF(K510="","",IF(K510&lt;0,IF(H510&lt;&gt;"",H510+Assumptions!$B$7,C510+Assumptions!$B$8+Assumptions!$B$7),M510))</f>
        <v/>
      </c>
      <c r="O510" s="21" t="str">
        <f aca="false">IF(N510="","",N510-Assumptions!$D$5)</f>
        <v/>
      </c>
      <c r="P510" s="22"/>
      <c r="Q510" s="22"/>
      <c r="R510" s="18" t="str">
        <f aca="false">IF(Q510="","",Q510*IF(LEFT(L510,7)="Phase 1",Assumptions!$B$11,Assumptions!$B$12))</f>
        <v/>
      </c>
    </row>
    <row r="511" customFormat="false" ht="15" hidden="false" customHeight="true" outlineLevel="0" collapsed="false">
      <c r="C511" s="24"/>
      <c r="F511" s="22"/>
      <c r="G511" s="23"/>
      <c r="H511" s="24"/>
      <c r="J511" s="18" t="str">
        <f aca="false">IF(F511="","",F511*G511)</f>
        <v/>
      </c>
      <c r="K511" s="5" t="str">
        <f aca="false">IF(A511="","",IF(H511&lt;&gt;"",Assumptions!$D$5-H511,IF(C511="","",Assumptions!$D$5-(C511+Assumptions!$B$8))))</f>
        <v/>
      </c>
      <c r="L511" s="5" t="str">
        <f aca="false">IF(K511="","",IF(K511&lt;0,"Phase 1 (unliquidated)",IF(K511&lt;=Assumptions!$B$7,"Phase 1 (recently liquidated)",IF(K511&lt;=Assumptions!$B$6,"Protest required","Deadline passed — litigation only"))))</f>
        <v/>
      </c>
      <c r="M511" s="20" t="str">
        <f aca="false">IF(K511="","",IF(H511&lt;&gt;"",H511+Assumptions!$B$6,C511+Assumptions!$B$8+Assumptions!$B$6))</f>
        <v/>
      </c>
      <c r="N511" s="20" t="str">
        <f aca="false">IF(K511="","",IF(K511&lt;0,IF(H511&lt;&gt;"",H511+Assumptions!$B$7,C511+Assumptions!$B$8+Assumptions!$B$7),M511))</f>
        <v/>
      </c>
      <c r="O511" s="21" t="str">
        <f aca="false">IF(N511="","",N511-Assumptions!$D$5)</f>
        <v/>
      </c>
      <c r="P511" s="22"/>
      <c r="Q511" s="22"/>
      <c r="R511" s="18" t="str">
        <f aca="false">IF(Q511="","",Q511*IF(LEFT(L511,7)="Phase 1",Assumptions!$B$11,Assumptions!$B$12))</f>
        <v/>
      </c>
    </row>
    <row r="512" customFormat="false" ht="15" hidden="false" customHeight="true" outlineLevel="0" collapsed="false">
      <c r="C512" s="24"/>
      <c r="F512" s="22"/>
      <c r="G512" s="23"/>
      <c r="H512" s="24"/>
      <c r="J512" s="18" t="str">
        <f aca="false">IF(F512="","",F512*G512)</f>
        <v/>
      </c>
      <c r="K512" s="5" t="str">
        <f aca="false">IF(A512="","",IF(H512&lt;&gt;"",Assumptions!$D$5-H512,IF(C512="","",Assumptions!$D$5-(C512+Assumptions!$B$8))))</f>
        <v/>
      </c>
      <c r="L512" s="5" t="str">
        <f aca="false">IF(K512="","",IF(K512&lt;0,"Phase 1 (unliquidated)",IF(K512&lt;=Assumptions!$B$7,"Phase 1 (recently liquidated)",IF(K512&lt;=Assumptions!$B$6,"Protest required","Deadline passed — litigation only"))))</f>
        <v/>
      </c>
      <c r="M512" s="20" t="str">
        <f aca="false">IF(K512="","",IF(H512&lt;&gt;"",H512+Assumptions!$B$6,C512+Assumptions!$B$8+Assumptions!$B$6))</f>
        <v/>
      </c>
      <c r="N512" s="20" t="str">
        <f aca="false">IF(K512="","",IF(K512&lt;0,IF(H512&lt;&gt;"",H512+Assumptions!$B$7,C512+Assumptions!$B$8+Assumptions!$B$7),M512))</f>
        <v/>
      </c>
      <c r="O512" s="21" t="str">
        <f aca="false">IF(N512="","",N512-Assumptions!$D$5)</f>
        <v/>
      </c>
      <c r="P512" s="22"/>
      <c r="Q512" s="22"/>
      <c r="R512" s="18" t="str">
        <f aca="false">IF(Q512="","",Q512*IF(LEFT(L512,7)="Phase 1",Assumptions!$B$11,Assumptions!$B$12))</f>
        <v/>
      </c>
    </row>
    <row r="513" customFormat="false" ht="15" hidden="false" customHeight="true" outlineLevel="0" collapsed="false">
      <c r="C513" s="24"/>
      <c r="F513" s="22"/>
      <c r="G513" s="23"/>
      <c r="H513" s="24"/>
      <c r="J513" s="18" t="str">
        <f aca="false">IF(F513="","",F513*G513)</f>
        <v/>
      </c>
      <c r="K513" s="5" t="str">
        <f aca="false">IF(A513="","",IF(H513&lt;&gt;"",Assumptions!$D$5-H513,IF(C513="","",Assumptions!$D$5-(C513+Assumptions!$B$8))))</f>
        <v/>
      </c>
      <c r="L513" s="5" t="str">
        <f aca="false">IF(K513="","",IF(K513&lt;0,"Phase 1 (unliquidated)",IF(K513&lt;=Assumptions!$B$7,"Phase 1 (recently liquidated)",IF(K513&lt;=Assumptions!$B$6,"Protest required","Deadline passed — litigation only"))))</f>
        <v/>
      </c>
      <c r="M513" s="20" t="str">
        <f aca="false">IF(K513="","",IF(H513&lt;&gt;"",H513+Assumptions!$B$6,C513+Assumptions!$B$8+Assumptions!$B$6))</f>
        <v/>
      </c>
      <c r="N513" s="20" t="str">
        <f aca="false">IF(K513="","",IF(K513&lt;0,IF(H513&lt;&gt;"",H513+Assumptions!$B$7,C513+Assumptions!$B$8+Assumptions!$B$7),M513))</f>
        <v/>
      </c>
      <c r="O513" s="21" t="str">
        <f aca="false">IF(N513="","",N513-Assumptions!$D$5)</f>
        <v/>
      </c>
      <c r="P513" s="22"/>
      <c r="Q513" s="22"/>
      <c r="R513" s="18" t="str">
        <f aca="false">IF(Q513="","",Q513*IF(LEFT(L513,7)="Phase 1",Assumptions!$B$11,Assumptions!$B$12))</f>
        <v/>
      </c>
    </row>
    <row r="514" customFormat="false" ht="15" hidden="false" customHeight="true" outlineLevel="0" collapsed="false">
      <c r="C514" s="24"/>
      <c r="F514" s="22"/>
      <c r="G514" s="23"/>
      <c r="H514" s="24"/>
      <c r="J514" s="18" t="str">
        <f aca="false">IF(F514="","",F514*G514)</f>
        <v/>
      </c>
      <c r="K514" s="5" t="str">
        <f aca="false">IF(A514="","",IF(H514&lt;&gt;"",Assumptions!$D$5-H514,IF(C514="","",Assumptions!$D$5-(C514+Assumptions!$B$8))))</f>
        <v/>
      </c>
      <c r="L514" s="5" t="str">
        <f aca="false">IF(K514="","",IF(K514&lt;0,"Phase 1 (unliquidated)",IF(K514&lt;=Assumptions!$B$7,"Phase 1 (recently liquidated)",IF(K514&lt;=Assumptions!$B$6,"Protest required","Deadline passed — litigation only"))))</f>
        <v/>
      </c>
      <c r="M514" s="20" t="str">
        <f aca="false">IF(K514="","",IF(H514&lt;&gt;"",H514+Assumptions!$B$6,C514+Assumptions!$B$8+Assumptions!$B$6))</f>
        <v/>
      </c>
      <c r="N514" s="20" t="str">
        <f aca="false">IF(K514="","",IF(K514&lt;0,IF(H514&lt;&gt;"",H514+Assumptions!$B$7,C514+Assumptions!$B$8+Assumptions!$B$7),M514))</f>
        <v/>
      </c>
      <c r="O514" s="21" t="str">
        <f aca="false">IF(N514="","",N514-Assumptions!$D$5)</f>
        <v/>
      </c>
      <c r="P514" s="22"/>
      <c r="Q514" s="22"/>
      <c r="R514" s="18" t="str">
        <f aca="false">IF(Q514="","",Q514*IF(LEFT(L514,7)="Phase 1",Assumptions!$B$11,Assumptions!$B$12))</f>
        <v/>
      </c>
    </row>
    <row r="515" customFormat="false" ht="15" hidden="false" customHeight="true" outlineLevel="0" collapsed="false">
      <c r="C515" s="24"/>
      <c r="F515" s="22"/>
      <c r="G515" s="23"/>
      <c r="H515" s="24"/>
      <c r="J515" s="18" t="str">
        <f aca="false">IF(F515="","",F515*G515)</f>
        <v/>
      </c>
      <c r="K515" s="5" t="str">
        <f aca="false">IF(A515="","",IF(H515&lt;&gt;"",Assumptions!$D$5-H515,IF(C515="","",Assumptions!$D$5-(C515+Assumptions!$B$8))))</f>
        <v/>
      </c>
      <c r="L515" s="5" t="str">
        <f aca="false">IF(K515="","",IF(K515&lt;0,"Phase 1 (unliquidated)",IF(K515&lt;=Assumptions!$B$7,"Phase 1 (recently liquidated)",IF(K515&lt;=Assumptions!$B$6,"Protest required","Deadline passed — litigation only"))))</f>
        <v/>
      </c>
      <c r="M515" s="20" t="str">
        <f aca="false">IF(K515="","",IF(H515&lt;&gt;"",H515+Assumptions!$B$6,C515+Assumptions!$B$8+Assumptions!$B$6))</f>
        <v/>
      </c>
      <c r="N515" s="20" t="str">
        <f aca="false">IF(K515="","",IF(K515&lt;0,IF(H515&lt;&gt;"",H515+Assumptions!$B$7,C515+Assumptions!$B$8+Assumptions!$B$7),M515))</f>
        <v/>
      </c>
      <c r="O515" s="21" t="str">
        <f aca="false">IF(N515="","",N515-Assumptions!$D$5)</f>
        <v/>
      </c>
      <c r="P515" s="22"/>
      <c r="Q515" s="22"/>
      <c r="R515" s="18" t="str">
        <f aca="false">IF(Q515="","",Q515*IF(LEFT(L515,7)="Phase 1",Assumptions!$B$11,Assumptions!$B$12))</f>
        <v/>
      </c>
    </row>
    <row r="516" customFormat="false" ht="15" hidden="false" customHeight="true" outlineLevel="0" collapsed="false">
      <c r="C516" s="24"/>
      <c r="F516" s="22"/>
      <c r="G516" s="23"/>
      <c r="H516" s="24"/>
      <c r="J516" s="18" t="str">
        <f aca="false">IF(F516="","",F516*G516)</f>
        <v/>
      </c>
      <c r="K516" s="5" t="str">
        <f aca="false">IF(A516="","",IF(H516&lt;&gt;"",Assumptions!$D$5-H516,IF(C516="","",Assumptions!$D$5-(C516+Assumptions!$B$8))))</f>
        <v/>
      </c>
      <c r="L516" s="5" t="str">
        <f aca="false">IF(K516="","",IF(K516&lt;0,"Phase 1 (unliquidated)",IF(K516&lt;=Assumptions!$B$7,"Phase 1 (recently liquidated)",IF(K516&lt;=Assumptions!$B$6,"Protest required","Deadline passed — litigation only"))))</f>
        <v/>
      </c>
      <c r="M516" s="20" t="str">
        <f aca="false">IF(K516="","",IF(H516&lt;&gt;"",H516+Assumptions!$B$6,C516+Assumptions!$B$8+Assumptions!$B$6))</f>
        <v/>
      </c>
      <c r="N516" s="20" t="str">
        <f aca="false">IF(K516="","",IF(K516&lt;0,IF(H516&lt;&gt;"",H516+Assumptions!$B$7,C516+Assumptions!$B$8+Assumptions!$B$7),M516))</f>
        <v/>
      </c>
      <c r="O516" s="21" t="str">
        <f aca="false">IF(N516="","",N516-Assumptions!$D$5)</f>
        <v/>
      </c>
      <c r="P516" s="22"/>
      <c r="Q516" s="22"/>
      <c r="R516" s="18" t="str">
        <f aca="false">IF(Q516="","",Q516*IF(LEFT(L516,7)="Phase 1",Assumptions!$B$11,Assumptions!$B$12))</f>
        <v/>
      </c>
    </row>
    <row r="517" customFormat="false" ht="15" hidden="false" customHeight="true" outlineLevel="0" collapsed="false">
      <c r="C517" s="24"/>
      <c r="F517" s="22"/>
      <c r="G517" s="23"/>
      <c r="H517" s="24"/>
      <c r="J517" s="18" t="str">
        <f aca="false">IF(F517="","",F517*G517)</f>
        <v/>
      </c>
      <c r="K517" s="5" t="str">
        <f aca="false">IF(A517="","",IF(H517&lt;&gt;"",Assumptions!$D$5-H517,IF(C517="","",Assumptions!$D$5-(C517+Assumptions!$B$8))))</f>
        <v/>
      </c>
      <c r="L517" s="5" t="str">
        <f aca="false">IF(K517="","",IF(K517&lt;0,"Phase 1 (unliquidated)",IF(K517&lt;=Assumptions!$B$7,"Phase 1 (recently liquidated)",IF(K517&lt;=Assumptions!$B$6,"Protest required","Deadline passed — litigation only"))))</f>
        <v/>
      </c>
      <c r="M517" s="20" t="str">
        <f aca="false">IF(K517="","",IF(H517&lt;&gt;"",H517+Assumptions!$B$6,C517+Assumptions!$B$8+Assumptions!$B$6))</f>
        <v/>
      </c>
      <c r="N517" s="20" t="str">
        <f aca="false">IF(K517="","",IF(K517&lt;0,IF(H517&lt;&gt;"",H517+Assumptions!$B$7,C517+Assumptions!$B$8+Assumptions!$B$7),M517))</f>
        <v/>
      </c>
      <c r="O517" s="21" t="str">
        <f aca="false">IF(N517="","",N517-Assumptions!$D$5)</f>
        <v/>
      </c>
      <c r="P517" s="22"/>
      <c r="Q517" s="22"/>
      <c r="R517" s="18" t="str">
        <f aca="false">IF(Q517="","",Q517*IF(LEFT(L517,7)="Phase 1",Assumptions!$B$11,Assumptions!$B$12))</f>
        <v/>
      </c>
    </row>
    <row r="518" customFormat="false" ht="15" hidden="false" customHeight="true" outlineLevel="0" collapsed="false">
      <c r="C518" s="24"/>
      <c r="F518" s="22"/>
      <c r="G518" s="23"/>
      <c r="H518" s="24"/>
      <c r="J518" s="18" t="str">
        <f aca="false">IF(F518="","",F518*G518)</f>
        <v/>
      </c>
      <c r="K518" s="5" t="str">
        <f aca="false">IF(A518="","",IF(H518&lt;&gt;"",Assumptions!$D$5-H518,IF(C518="","",Assumptions!$D$5-(C518+Assumptions!$B$8))))</f>
        <v/>
      </c>
      <c r="L518" s="5" t="str">
        <f aca="false">IF(K518="","",IF(K518&lt;0,"Phase 1 (unliquidated)",IF(K518&lt;=Assumptions!$B$7,"Phase 1 (recently liquidated)",IF(K518&lt;=Assumptions!$B$6,"Protest required","Deadline passed — litigation only"))))</f>
        <v/>
      </c>
      <c r="M518" s="20" t="str">
        <f aca="false">IF(K518="","",IF(H518&lt;&gt;"",H518+Assumptions!$B$6,C518+Assumptions!$B$8+Assumptions!$B$6))</f>
        <v/>
      </c>
      <c r="N518" s="20" t="str">
        <f aca="false">IF(K518="","",IF(K518&lt;0,IF(H518&lt;&gt;"",H518+Assumptions!$B$7,C518+Assumptions!$B$8+Assumptions!$B$7),M518))</f>
        <v/>
      </c>
      <c r="O518" s="21" t="str">
        <f aca="false">IF(N518="","",N518-Assumptions!$D$5)</f>
        <v/>
      </c>
      <c r="P518" s="22"/>
      <c r="Q518" s="22"/>
      <c r="R518" s="18" t="str">
        <f aca="false">IF(Q518="","",Q518*IF(LEFT(L518,7)="Phase 1",Assumptions!$B$11,Assumptions!$B$12))</f>
        <v/>
      </c>
    </row>
    <row r="519" customFormat="false" ht="15" hidden="false" customHeight="true" outlineLevel="0" collapsed="false">
      <c r="C519" s="24"/>
      <c r="F519" s="22"/>
      <c r="G519" s="23"/>
      <c r="H519" s="24"/>
      <c r="J519" s="18" t="str">
        <f aca="false">IF(F519="","",F519*G519)</f>
        <v/>
      </c>
      <c r="K519" s="5" t="str">
        <f aca="false">IF(A519="","",IF(H519&lt;&gt;"",Assumptions!$D$5-H519,IF(C519="","",Assumptions!$D$5-(C519+Assumptions!$B$8))))</f>
        <v/>
      </c>
      <c r="L519" s="5" t="str">
        <f aca="false">IF(K519="","",IF(K519&lt;0,"Phase 1 (unliquidated)",IF(K519&lt;=Assumptions!$B$7,"Phase 1 (recently liquidated)",IF(K519&lt;=Assumptions!$B$6,"Protest required","Deadline passed — litigation only"))))</f>
        <v/>
      </c>
      <c r="M519" s="20" t="str">
        <f aca="false">IF(K519="","",IF(H519&lt;&gt;"",H519+Assumptions!$B$6,C519+Assumptions!$B$8+Assumptions!$B$6))</f>
        <v/>
      </c>
      <c r="N519" s="20" t="str">
        <f aca="false">IF(K519="","",IF(K519&lt;0,IF(H519&lt;&gt;"",H519+Assumptions!$B$7,C519+Assumptions!$B$8+Assumptions!$B$7),M519))</f>
        <v/>
      </c>
      <c r="O519" s="21" t="str">
        <f aca="false">IF(N519="","",N519-Assumptions!$D$5)</f>
        <v/>
      </c>
      <c r="P519" s="22"/>
      <c r="Q519" s="22"/>
      <c r="R519" s="18" t="str">
        <f aca="false">IF(Q519="","",Q519*IF(LEFT(L519,7)="Phase 1",Assumptions!$B$11,Assumptions!$B$12))</f>
        <v/>
      </c>
    </row>
    <row r="520" customFormat="false" ht="15" hidden="false" customHeight="true" outlineLevel="0" collapsed="false">
      <c r="C520" s="24"/>
      <c r="F520" s="22"/>
      <c r="G520" s="23"/>
      <c r="H520" s="24"/>
      <c r="J520" s="18" t="str">
        <f aca="false">IF(F520="","",F520*G520)</f>
        <v/>
      </c>
      <c r="K520" s="5" t="str">
        <f aca="false">IF(A520="","",IF(H520&lt;&gt;"",Assumptions!$D$5-H520,IF(C520="","",Assumptions!$D$5-(C520+Assumptions!$B$8))))</f>
        <v/>
      </c>
      <c r="L520" s="5" t="str">
        <f aca="false">IF(K520="","",IF(K520&lt;0,"Phase 1 (unliquidated)",IF(K520&lt;=Assumptions!$B$7,"Phase 1 (recently liquidated)",IF(K520&lt;=Assumptions!$B$6,"Protest required","Deadline passed — litigation only"))))</f>
        <v/>
      </c>
      <c r="M520" s="20" t="str">
        <f aca="false">IF(K520="","",IF(H520&lt;&gt;"",H520+Assumptions!$B$6,C520+Assumptions!$B$8+Assumptions!$B$6))</f>
        <v/>
      </c>
      <c r="N520" s="20" t="str">
        <f aca="false">IF(K520="","",IF(K520&lt;0,IF(H520&lt;&gt;"",H520+Assumptions!$B$7,C520+Assumptions!$B$8+Assumptions!$B$7),M520))</f>
        <v/>
      </c>
      <c r="O520" s="21" t="str">
        <f aca="false">IF(N520="","",N520-Assumptions!$D$5)</f>
        <v/>
      </c>
      <c r="P520" s="22"/>
      <c r="Q520" s="22"/>
      <c r="R520" s="18" t="str">
        <f aca="false">IF(Q520="","",Q520*IF(LEFT(L520,7)="Phase 1",Assumptions!$B$11,Assumptions!$B$12))</f>
        <v/>
      </c>
    </row>
    <row r="521" customFormat="false" ht="15" hidden="false" customHeight="true" outlineLevel="0" collapsed="false">
      <c r="C521" s="24"/>
      <c r="F521" s="22"/>
      <c r="G521" s="23"/>
      <c r="H521" s="24"/>
      <c r="J521" s="18" t="str">
        <f aca="false">IF(F521="","",F521*G521)</f>
        <v/>
      </c>
      <c r="K521" s="5" t="str">
        <f aca="false">IF(A521="","",IF(H521&lt;&gt;"",Assumptions!$D$5-H521,IF(C521="","",Assumptions!$D$5-(C521+Assumptions!$B$8))))</f>
        <v/>
      </c>
      <c r="L521" s="5" t="str">
        <f aca="false">IF(K521="","",IF(K521&lt;0,"Phase 1 (unliquidated)",IF(K521&lt;=Assumptions!$B$7,"Phase 1 (recently liquidated)",IF(K521&lt;=Assumptions!$B$6,"Protest required","Deadline passed — litigation only"))))</f>
        <v/>
      </c>
      <c r="M521" s="20" t="str">
        <f aca="false">IF(K521="","",IF(H521&lt;&gt;"",H521+Assumptions!$B$6,C521+Assumptions!$B$8+Assumptions!$B$6))</f>
        <v/>
      </c>
      <c r="N521" s="20" t="str">
        <f aca="false">IF(K521="","",IF(K521&lt;0,IF(H521&lt;&gt;"",H521+Assumptions!$B$7,C521+Assumptions!$B$8+Assumptions!$B$7),M521))</f>
        <v/>
      </c>
      <c r="O521" s="21" t="str">
        <f aca="false">IF(N521="","",N521-Assumptions!$D$5)</f>
        <v/>
      </c>
      <c r="P521" s="22"/>
      <c r="Q521" s="22"/>
      <c r="R521" s="18" t="str">
        <f aca="false">IF(Q521="","",Q521*IF(LEFT(L521,7)="Phase 1",Assumptions!$B$11,Assumptions!$B$12))</f>
        <v/>
      </c>
    </row>
    <row r="522" customFormat="false" ht="15" hidden="false" customHeight="true" outlineLevel="0" collapsed="false">
      <c r="C522" s="24"/>
      <c r="F522" s="22"/>
      <c r="G522" s="23"/>
      <c r="H522" s="24"/>
      <c r="J522" s="18" t="str">
        <f aca="false">IF(F522="","",F522*G522)</f>
        <v/>
      </c>
      <c r="K522" s="5" t="str">
        <f aca="false">IF(A522="","",IF(H522&lt;&gt;"",Assumptions!$D$5-H522,IF(C522="","",Assumptions!$D$5-(C522+Assumptions!$B$8))))</f>
        <v/>
      </c>
      <c r="L522" s="5" t="str">
        <f aca="false">IF(K522="","",IF(K522&lt;0,"Phase 1 (unliquidated)",IF(K522&lt;=Assumptions!$B$7,"Phase 1 (recently liquidated)",IF(K522&lt;=Assumptions!$B$6,"Protest required","Deadline passed — litigation only"))))</f>
        <v/>
      </c>
      <c r="M522" s="20" t="str">
        <f aca="false">IF(K522="","",IF(H522&lt;&gt;"",H522+Assumptions!$B$6,C522+Assumptions!$B$8+Assumptions!$B$6))</f>
        <v/>
      </c>
      <c r="N522" s="20" t="str">
        <f aca="false">IF(K522="","",IF(K522&lt;0,IF(H522&lt;&gt;"",H522+Assumptions!$B$7,C522+Assumptions!$B$8+Assumptions!$B$7),M522))</f>
        <v/>
      </c>
      <c r="O522" s="21" t="str">
        <f aca="false">IF(N522="","",N522-Assumptions!$D$5)</f>
        <v/>
      </c>
      <c r="P522" s="22"/>
      <c r="Q522" s="22"/>
      <c r="R522" s="18" t="str">
        <f aca="false">IF(Q522="","",Q522*IF(LEFT(L522,7)="Phase 1",Assumptions!$B$11,Assumptions!$B$12))</f>
        <v/>
      </c>
    </row>
    <row r="523" customFormat="false" ht="15" hidden="false" customHeight="true" outlineLevel="0" collapsed="false">
      <c r="C523" s="24"/>
      <c r="F523" s="22"/>
      <c r="G523" s="23"/>
      <c r="H523" s="24"/>
      <c r="J523" s="18" t="str">
        <f aca="false">IF(F523="","",F523*G523)</f>
        <v/>
      </c>
      <c r="K523" s="5" t="str">
        <f aca="false">IF(A523="","",IF(H523&lt;&gt;"",Assumptions!$D$5-H523,IF(C523="","",Assumptions!$D$5-(C523+Assumptions!$B$8))))</f>
        <v/>
      </c>
      <c r="L523" s="5" t="str">
        <f aca="false">IF(K523="","",IF(K523&lt;0,"Phase 1 (unliquidated)",IF(K523&lt;=Assumptions!$B$7,"Phase 1 (recently liquidated)",IF(K523&lt;=Assumptions!$B$6,"Protest required","Deadline passed — litigation only"))))</f>
        <v/>
      </c>
      <c r="M523" s="20" t="str">
        <f aca="false">IF(K523="","",IF(H523&lt;&gt;"",H523+Assumptions!$B$6,C523+Assumptions!$B$8+Assumptions!$B$6))</f>
        <v/>
      </c>
      <c r="N523" s="20" t="str">
        <f aca="false">IF(K523="","",IF(K523&lt;0,IF(H523&lt;&gt;"",H523+Assumptions!$B$7,C523+Assumptions!$B$8+Assumptions!$B$7),M523))</f>
        <v/>
      </c>
      <c r="O523" s="21" t="str">
        <f aca="false">IF(N523="","",N523-Assumptions!$D$5)</f>
        <v/>
      </c>
      <c r="P523" s="22"/>
      <c r="Q523" s="22"/>
      <c r="R523" s="18" t="str">
        <f aca="false">IF(Q523="","",Q523*IF(LEFT(L523,7)="Phase 1",Assumptions!$B$11,Assumptions!$B$12))</f>
        <v/>
      </c>
    </row>
    <row r="524" customFormat="false" ht="15" hidden="false" customHeight="true" outlineLevel="0" collapsed="false">
      <c r="C524" s="24"/>
      <c r="F524" s="22"/>
      <c r="G524" s="23"/>
      <c r="H524" s="24"/>
      <c r="J524" s="18" t="str">
        <f aca="false">IF(F524="","",F524*G524)</f>
        <v/>
      </c>
      <c r="K524" s="5" t="str">
        <f aca="false">IF(A524="","",IF(H524&lt;&gt;"",Assumptions!$D$5-H524,IF(C524="","",Assumptions!$D$5-(C524+Assumptions!$B$8))))</f>
        <v/>
      </c>
      <c r="L524" s="5" t="str">
        <f aca="false">IF(K524="","",IF(K524&lt;0,"Phase 1 (unliquidated)",IF(K524&lt;=Assumptions!$B$7,"Phase 1 (recently liquidated)",IF(K524&lt;=Assumptions!$B$6,"Protest required","Deadline passed — litigation only"))))</f>
        <v/>
      </c>
      <c r="M524" s="20" t="str">
        <f aca="false">IF(K524="","",IF(H524&lt;&gt;"",H524+Assumptions!$B$6,C524+Assumptions!$B$8+Assumptions!$B$6))</f>
        <v/>
      </c>
      <c r="N524" s="20" t="str">
        <f aca="false">IF(K524="","",IF(K524&lt;0,IF(H524&lt;&gt;"",H524+Assumptions!$B$7,C524+Assumptions!$B$8+Assumptions!$B$7),M524))</f>
        <v/>
      </c>
      <c r="O524" s="21" t="str">
        <f aca="false">IF(N524="","",N524-Assumptions!$D$5)</f>
        <v/>
      </c>
      <c r="P524" s="22"/>
      <c r="Q524" s="22"/>
      <c r="R524" s="18" t="str">
        <f aca="false">IF(Q524="","",Q524*IF(LEFT(L524,7)="Phase 1",Assumptions!$B$11,Assumptions!$B$12))</f>
        <v/>
      </c>
    </row>
    <row r="525" customFormat="false" ht="15" hidden="false" customHeight="true" outlineLevel="0" collapsed="false">
      <c r="C525" s="24"/>
      <c r="F525" s="22"/>
      <c r="G525" s="23"/>
      <c r="H525" s="24"/>
      <c r="J525" s="18" t="str">
        <f aca="false">IF(F525="","",F525*G525)</f>
        <v/>
      </c>
      <c r="K525" s="5" t="str">
        <f aca="false">IF(A525="","",IF(H525&lt;&gt;"",Assumptions!$D$5-H525,IF(C525="","",Assumptions!$D$5-(C525+Assumptions!$B$8))))</f>
        <v/>
      </c>
      <c r="L525" s="5" t="str">
        <f aca="false">IF(K525="","",IF(K525&lt;0,"Phase 1 (unliquidated)",IF(K525&lt;=Assumptions!$B$7,"Phase 1 (recently liquidated)",IF(K525&lt;=Assumptions!$B$6,"Protest required","Deadline passed — litigation only"))))</f>
        <v/>
      </c>
      <c r="M525" s="20" t="str">
        <f aca="false">IF(K525="","",IF(H525&lt;&gt;"",H525+Assumptions!$B$6,C525+Assumptions!$B$8+Assumptions!$B$6))</f>
        <v/>
      </c>
      <c r="N525" s="20" t="str">
        <f aca="false">IF(K525="","",IF(K525&lt;0,IF(H525&lt;&gt;"",H525+Assumptions!$B$7,C525+Assumptions!$B$8+Assumptions!$B$7),M525))</f>
        <v/>
      </c>
      <c r="O525" s="21" t="str">
        <f aca="false">IF(N525="","",N525-Assumptions!$D$5)</f>
        <v/>
      </c>
      <c r="P525" s="22"/>
      <c r="Q525" s="22"/>
      <c r="R525" s="18" t="str">
        <f aca="false">IF(Q525="","",Q525*IF(LEFT(L525,7)="Phase 1",Assumptions!$B$11,Assumptions!$B$12))</f>
        <v/>
      </c>
    </row>
    <row r="526" customFormat="false" ht="15" hidden="false" customHeight="true" outlineLevel="0" collapsed="false">
      <c r="C526" s="24"/>
      <c r="F526" s="22"/>
      <c r="G526" s="23"/>
      <c r="H526" s="24"/>
      <c r="J526" s="18" t="str">
        <f aca="false">IF(F526="","",F526*G526)</f>
        <v/>
      </c>
      <c r="K526" s="5" t="str">
        <f aca="false">IF(A526="","",IF(H526&lt;&gt;"",Assumptions!$D$5-H526,IF(C526="","",Assumptions!$D$5-(C526+Assumptions!$B$8))))</f>
        <v/>
      </c>
      <c r="L526" s="5" t="str">
        <f aca="false">IF(K526="","",IF(K526&lt;0,"Phase 1 (unliquidated)",IF(K526&lt;=Assumptions!$B$7,"Phase 1 (recently liquidated)",IF(K526&lt;=Assumptions!$B$6,"Protest required","Deadline passed — litigation only"))))</f>
        <v/>
      </c>
      <c r="M526" s="20" t="str">
        <f aca="false">IF(K526="","",IF(H526&lt;&gt;"",H526+Assumptions!$B$6,C526+Assumptions!$B$8+Assumptions!$B$6))</f>
        <v/>
      </c>
      <c r="N526" s="20" t="str">
        <f aca="false">IF(K526="","",IF(K526&lt;0,IF(H526&lt;&gt;"",H526+Assumptions!$B$7,C526+Assumptions!$B$8+Assumptions!$B$7),M526))</f>
        <v/>
      </c>
      <c r="O526" s="21" t="str">
        <f aca="false">IF(N526="","",N526-Assumptions!$D$5)</f>
        <v/>
      </c>
      <c r="P526" s="22"/>
      <c r="Q526" s="22"/>
      <c r="R526" s="18" t="str">
        <f aca="false">IF(Q526="","",Q526*IF(LEFT(L526,7)="Phase 1",Assumptions!$B$11,Assumptions!$B$12))</f>
        <v/>
      </c>
    </row>
    <row r="527" customFormat="false" ht="15" hidden="false" customHeight="true" outlineLevel="0" collapsed="false">
      <c r="C527" s="24"/>
      <c r="F527" s="22"/>
      <c r="G527" s="23"/>
      <c r="H527" s="24"/>
      <c r="J527" s="18" t="str">
        <f aca="false">IF(F527="","",F527*G527)</f>
        <v/>
      </c>
      <c r="K527" s="5" t="str">
        <f aca="false">IF(A527="","",IF(H527&lt;&gt;"",Assumptions!$D$5-H527,IF(C527="","",Assumptions!$D$5-(C527+Assumptions!$B$8))))</f>
        <v/>
      </c>
      <c r="L527" s="5" t="str">
        <f aca="false">IF(K527="","",IF(K527&lt;0,"Phase 1 (unliquidated)",IF(K527&lt;=Assumptions!$B$7,"Phase 1 (recently liquidated)",IF(K527&lt;=Assumptions!$B$6,"Protest required","Deadline passed — litigation only"))))</f>
        <v/>
      </c>
      <c r="M527" s="20" t="str">
        <f aca="false">IF(K527="","",IF(H527&lt;&gt;"",H527+Assumptions!$B$6,C527+Assumptions!$B$8+Assumptions!$B$6))</f>
        <v/>
      </c>
      <c r="N527" s="20" t="str">
        <f aca="false">IF(K527="","",IF(K527&lt;0,IF(H527&lt;&gt;"",H527+Assumptions!$B$7,C527+Assumptions!$B$8+Assumptions!$B$7),M527))</f>
        <v/>
      </c>
      <c r="O527" s="21" t="str">
        <f aca="false">IF(N527="","",N527-Assumptions!$D$5)</f>
        <v/>
      </c>
      <c r="P527" s="22"/>
      <c r="Q527" s="22"/>
      <c r="R527" s="18" t="str">
        <f aca="false">IF(Q527="","",Q527*IF(LEFT(L527,7)="Phase 1",Assumptions!$B$11,Assumptions!$B$12))</f>
        <v/>
      </c>
    </row>
    <row r="528" customFormat="false" ht="15" hidden="false" customHeight="true" outlineLevel="0" collapsed="false">
      <c r="C528" s="24"/>
      <c r="F528" s="22"/>
      <c r="G528" s="23"/>
      <c r="H528" s="24"/>
      <c r="J528" s="18" t="str">
        <f aca="false">IF(F528="","",F528*G528)</f>
        <v/>
      </c>
      <c r="K528" s="5" t="str">
        <f aca="false">IF(A528="","",IF(H528&lt;&gt;"",Assumptions!$D$5-H528,IF(C528="","",Assumptions!$D$5-(C528+Assumptions!$B$8))))</f>
        <v/>
      </c>
      <c r="L528" s="5" t="str">
        <f aca="false">IF(K528="","",IF(K528&lt;0,"Phase 1 (unliquidated)",IF(K528&lt;=Assumptions!$B$7,"Phase 1 (recently liquidated)",IF(K528&lt;=Assumptions!$B$6,"Protest required","Deadline passed — litigation only"))))</f>
        <v/>
      </c>
      <c r="M528" s="20" t="str">
        <f aca="false">IF(K528="","",IF(H528&lt;&gt;"",H528+Assumptions!$B$6,C528+Assumptions!$B$8+Assumptions!$B$6))</f>
        <v/>
      </c>
      <c r="N528" s="20" t="str">
        <f aca="false">IF(K528="","",IF(K528&lt;0,IF(H528&lt;&gt;"",H528+Assumptions!$B$7,C528+Assumptions!$B$8+Assumptions!$B$7),M528))</f>
        <v/>
      </c>
      <c r="O528" s="21" t="str">
        <f aca="false">IF(N528="","",N528-Assumptions!$D$5)</f>
        <v/>
      </c>
      <c r="P528" s="22"/>
      <c r="Q528" s="22"/>
      <c r="R528" s="18" t="str">
        <f aca="false">IF(Q528="","",Q528*IF(LEFT(L528,7)="Phase 1",Assumptions!$B$11,Assumptions!$B$12))</f>
        <v/>
      </c>
    </row>
    <row r="529" customFormat="false" ht="15" hidden="false" customHeight="true" outlineLevel="0" collapsed="false">
      <c r="C529" s="24"/>
      <c r="F529" s="22"/>
      <c r="G529" s="23"/>
      <c r="H529" s="24"/>
      <c r="J529" s="18" t="str">
        <f aca="false">IF(F529="","",F529*G529)</f>
        <v/>
      </c>
      <c r="K529" s="5" t="str">
        <f aca="false">IF(A529="","",IF(H529&lt;&gt;"",Assumptions!$D$5-H529,IF(C529="","",Assumptions!$D$5-(C529+Assumptions!$B$8))))</f>
        <v/>
      </c>
      <c r="L529" s="5" t="str">
        <f aca="false">IF(K529="","",IF(K529&lt;0,"Phase 1 (unliquidated)",IF(K529&lt;=Assumptions!$B$7,"Phase 1 (recently liquidated)",IF(K529&lt;=Assumptions!$B$6,"Protest required","Deadline passed — litigation only"))))</f>
        <v/>
      </c>
      <c r="M529" s="20" t="str">
        <f aca="false">IF(K529="","",IF(H529&lt;&gt;"",H529+Assumptions!$B$6,C529+Assumptions!$B$8+Assumptions!$B$6))</f>
        <v/>
      </c>
      <c r="N529" s="20" t="str">
        <f aca="false">IF(K529="","",IF(K529&lt;0,IF(H529&lt;&gt;"",H529+Assumptions!$B$7,C529+Assumptions!$B$8+Assumptions!$B$7),M529))</f>
        <v/>
      </c>
      <c r="O529" s="21" t="str">
        <f aca="false">IF(N529="","",N529-Assumptions!$D$5)</f>
        <v/>
      </c>
      <c r="P529" s="22"/>
      <c r="Q529" s="22"/>
      <c r="R529" s="18" t="str">
        <f aca="false">IF(Q529="","",Q529*IF(LEFT(L529,7)="Phase 1",Assumptions!$B$11,Assumptions!$B$12))</f>
        <v/>
      </c>
    </row>
    <row r="530" customFormat="false" ht="15" hidden="false" customHeight="true" outlineLevel="0" collapsed="false">
      <c r="C530" s="24"/>
      <c r="F530" s="22"/>
      <c r="G530" s="23"/>
      <c r="H530" s="24"/>
      <c r="J530" s="18" t="str">
        <f aca="false">IF(F530="","",F530*G530)</f>
        <v/>
      </c>
      <c r="K530" s="5" t="str">
        <f aca="false">IF(A530="","",IF(H530&lt;&gt;"",Assumptions!$D$5-H530,IF(C530="","",Assumptions!$D$5-(C530+Assumptions!$B$8))))</f>
        <v/>
      </c>
      <c r="L530" s="5" t="str">
        <f aca="false">IF(K530="","",IF(K530&lt;0,"Phase 1 (unliquidated)",IF(K530&lt;=Assumptions!$B$7,"Phase 1 (recently liquidated)",IF(K530&lt;=Assumptions!$B$6,"Protest required","Deadline passed — litigation only"))))</f>
        <v/>
      </c>
      <c r="M530" s="20" t="str">
        <f aca="false">IF(K530="","",IF(H530&lt;&gt;"",H530+Assumptions!$B$6,C530+Assumptions!$B$8+Assumptions!$B$6))</f>
        <v/>
      </c>
      <c r="N530" s="20" t="str">
        <f aca="false">IF(K530="","",IF(K530&lt;0,IF(H530&lt;&gt;"",H530+Assumptions!$B$7,C530+Assumptions!$B$8+Assumptions!$B$7),M530))</f>
        <v/>
      </c>
      <c r="O530" s="21" t="str">
        <f aca="false">IF(N530="","",N530-Assumptions!$D$5)</f>
        <v/>
      </c>
      <c r="P530" s="22"/>
      <c r="Q530" s="22"/>
      <c r="R530" s="18" t="str">
        <f aca="false">IF(Q530="","",Q530*IF(LEFT(L530,7)="Phase 1",Assumptions!$B$11,Assumptions!$B$12))</f>
        <v/>
      </c>
    </row>
    <row r="531" customFormat="false" ht="15" hidden="false" customHeight="true" outlineLevel="0" collapsed="false">
      <c r="C531" s="24"/>
      <c r="F531" s="22"/>
      <c r="G531" s="23"/>
      <c r="H531" s="24"/>
      <c r="J531" s="18" t="str">
        <f aca="false">IF(F531="","",F531*G531)</f>
        <v/>
      </c>
      <c r="K531" s="5" t="str">
        <f aca="false">IF(A531="","",IF(H531&lt;&gt;"",Assumptions!$D$5-H531,IF(C531="","",Assumptions!$D$5-(C531+Assumptions!$B$8))))</f>
        <v/>
      </c>
      <c r="L531" s="5" t="str">
        <f aca="false">IF(K531="","",IF(K531&lt;0,"Phase 1 (unliquidated)",IF(K531&lt;=Assumptions!$B$7,"Phase 1 (recently liquidated)",IF(K531&lt;=Assumptions!$B$6,"Protest required","Deadline passed — litigation only"))))</f>
        <v/>
      </c>
      <c r="M531" s="20" t="str">
        <f aca="false">IF(K531="","",IF(H531&lt;&gt;"",H531+Assumptions!$B$6,C531+Assumptions!$B$8+Assumptions!$B$6))</f>
        <v/>
      </c>
      <c r="N531" s="20" t="str">
        <f aca="false">IF(K531="","",IF(K531&lt;0,IF(H531&lt;&gt;"",H531+Assumptions!$B$7,C531+Assumptions!$B$8+Assumptions!$B$7),M531))</f>
        <v/>
      </c>
      <c r="O531" s="21" t="str">
        <f aca="false">IF(N531="","",N531-Assumptions!$D$5)</f>
        <v/>
      </c>
      <c r="P531" s="22"/>
      <c r="Q531" s="22"/>
      <c r="R531" s="18" t="str">
        <f aca="false">IF(Q531="","",Q531*IF(LEFT(L531,7)="Phase 1",Assumptions!$B$11,Assumptions!$B$12))</f>
        <v/>
      </c>
    </row>
    <row r="532" customFormat="false" ht="15" hidden="false" customHeight="true" outlineLevel="0" collapsed="false">
      <c r="C532" s="24"/>
      <c r="F532" s="22"/>
      <c r="G532" s="23"/>
      <c r="H532" s="24"/>
      <c r="J532" s="18" t="str">
        <f aca="false">IF(F532="","",F532*G532)</f>
        <v/>
      </c>
      <c r="K532" s="5" t="str">
        <f aca="false">IF(A532="","",IF(H532&lt;&gt;"",Assumptions!$D$5-H532,IF(C532="","",Assumptions!$D$5-(C532+Assumptions!$B$8))))</f>
        <v/>
      </c>
      <c r="L532" s="5" t="str">
        <f aca="false">IF(K532="","",IF(K532&lt;0,"Phase 1 (unliquidated)",IF(K532&lt;=Assumptions!$B$7,"Phase 1 (recently liquidated)",IF(K532&lt;=Assumptions!$B$6,"Protest required","Deadline passed — litigation only"))))</f>
        <v/>
      </c>
      <c r="M532" s="20" t="str">
        <f aca="false">IF(K532="","",IF(H532&lt;&gt;"",H532+Assumptions!$B$6,C532+Assumptions!$B$8+Assumptions!$B$6))</f>
        <v/>
      </c>
      <c r="N532" s="20" t="str">
        <f aca="false">IF(K532="","",IF(K532&lt;0,IF(H532&lt;&gt;"",H532+Assumptions!$B$7,C532+Assumptions!$B$8+Assumptions!$B$7),M532))</f>
        <v/>
      </c>
      <c r="O532" s="21" t="str">
        <f aca="false">IF(N532="","",N532-Assumptions!$D$5)</f>
        <v/>
      </c>
      <c r="P532" s="22"/>
      <c r="Q532" s="22"/>
      <c r="R532" s="18" t="str">
        <f aca="false">IF(Q532="","",Q532*IF(LEFT(L532,7)="Phase 1",Assumptions!$B$11,Assumptions!$B$12))</f>
        <v/>
      </c>
    </row>
    <row r="533" customFormat="false" ht="15" hidden="false" customHeight="true" outlineLevel="0" collapsed="false">
      <c r="C533" s="24"/>
      <c r="F533" s="22"/>
      <c r="G533" s="23"/>
      <c r="H533" s="24"/>
      <c r="J533" s="18" t="str">
        <f aca="false">IF(F533="","",F533*G533)</f>
        <v/>
      </c>
      <c r="K533" s="5" t="str">
        <f aca="false">IF(A533="","",IF(H533&lt;&gt;"",Assumptions!$D$5-H533,IF(C533="","",Assumptions!$D$5-(C533+Assumptions!$B$8))))</f>
        <v/>
      </c>
      <c r="L533" s="5" t="str">
        <f aca="false">IF(K533="","",IF(K533&lt;0,"Phase 1 (unliquidated)",IF(K533&lt;=Assumptions!$B$7,"Phase 1 (recently liquidated)",IF(K533&lt;=Assumptions!$B$6,"Protest required","Deadline passed — litigation only"))))</f>
        <v/>
      </c>
      <c r="M533" s="20" t="str">
        <f aca="false">IF(K533="","",IF(H533&lt;&gt;"",H533+Assumptions!$B$6,C533+Assumptions!$B$8+Assumptions!$B$6))</f>
        <v/>
      </c>
      <c r="N533" s="20" t="str">
        <f aca="false">IF(K533="","",IF(K533&lt;0,IF(H533&lt;&gt;"",H533+Assumptions!$B$7,C533+Assumptions!$B$8+Assumptions!$B$7),M533))</f>
        <v/>
      </c>
      <c r="O533" s="21" t="str">
        <f aca="false">IF(N533="","",N533-Assumptions!$D$5)</f>
        <v/>
      </c>
      <c r="P533" s="22"/>
      <c r="Q533" s="22"/>
      <c r="R533" s="18" t="str">
        <f aca="false">IF(Q533="","",Q533*IF(LEFT(L533,7)="Phase 1",Assumptions!$B$11,Assumptions!$B$12))</f>
        <v/>
      </c>
    </row>
    <row r="534" customFormat="false" ht="15" hidden="false" customHeight="true" outlineLevel="0" collapsed="false">
      <c r="C534" s="24"/>
      <c r="F534" s="22"/>
      <c r="G534" s="23"/>
      <c r="H534" s="24"/>
      <c r="J534" s="18" t="str">
        <f aca="false">IF(F534="","",F534*G534)</f>
        <v/>
      </c>
      <c r="K534" s="5" t="str">
        <f aca="false">IF(A534="","",IF(H534&lt;&gt;"",Assumptions!$D$5-H534,IF(C534="","",Assumptions!$D$5-(C534+Assumptions!$B$8))))</f>
        <v/>
      </c>
      <c r="L534" s="5" t="str">
        <f aca="false">IF(K534="","",IF(K534&lt;0,"Phase 1 (unliquidated)",IF(K534&lt;=Assumptions!$B$7,"Phase 1 (recently liquidated)",IF(K534&lt;=Assumptions!$B$6,"Protest required","Deadline passed — litigation only"))))</f>
        <v/>
      </c>
      <c r="M534" s="20" t="str">
        <f aca="false">IF(K534="","",IF(H534&lt;&gt;"",H534+Assumptions!$B$6,C534+Assumptions!$B$8+Assumptions!$B$6))</f>
        <v/>
      </c>
      <c r="N534" s="20" t="str">
        <f aca="false">IF(K534="","",IF(K534&lt;0,IF(H534&lt;&gt;"",H534+Assumptions!$B$7,C534+Assumptions!$B$8+Assumptions!$B$7),M534))</f>
        <v/>
      </c>
      <c r="O534" s="21" t="str">
        <f aca="false">IF(N534="","",N534-Assumptions!$D$5)</f>
        <v/>
      </c>
      <c r="P534" s="22"/>
      <c r="Q534" s="22"/>
      <c r="R534" s="18" t="str">
        <f aca="false">IF(Q534="","",Q534*IF(LEFT(L534,7)="Phase 1",Assumptions!$B$11,Assumptions!$B$12))</f>
        <v/>
      </c>
    </row>
    <row r="535" customFormat="false" ht="15" hidden="false" customHeight="true" outlineLevel="0" collapsed="false">
      <c r="C535" s="24"/>
      <c r="F535" s="22"/>
      <c r="G535" s="23"/>
      <c r="H535" s="24"/>
      <c r="J535" s="18" t="str">
        <f aca="false">IF(F535="","",F535*G535)</f>
        <v/>
      </c>
      <c r="K535" s="5" t="str">
        <f aca="false">IF(A535="","",IF(H535&lt;&gt;"",Assumptions!$D$5-H535,IF(C535="","",Assumptions!$D$5-(C535+Assumptions!$B$8))))</f>
        <v/>
      </c>
      <c r="L535" s="5" t="str">
        <f aca="false">IF(K535="","",IF(K535&lt;0,"Phase 1 (unliquidated)",IF(K535&lt;=Assumptions!$B$7,"Phase 1 (recently liquidated)",IF(K535&lt;=Assumptions!$B$6,"Protest required","Deadline passed — litigation only"))))</f>
        <v/>
      </c>
      <c r="M535" s="20" t="str">
        <f aca="false">IF(K535="","",IF(H535&lt;&gt;"",H535+Assumptions!$B$6,C535+Assumptions!$B$8+Assumptions!$B$6))</f>
        <v/>
      </c>
      <c r="N535" s="20" t="str">
        <f aca="false">IF(K535="","",IF(K535&lt;0,IF(H535&lt;&gt;"",H535+Assumptions!$B$7,C535+Assumptions!$B$8+Assumptions!$B$7),M535))</f>
        <v/>
      </c>
      <c r="O535" s="21" t="str">
        <f aca="false">IF(N535="","",N535-Assumptions!$D$5)</f>
        <v/>
      </c>
      <c r="P535" s="22"/>
      <c r="Q535" s="22"/>
      <c r="R535" s="18" t="str">
        <f aca="false">IF(Q535="","",Q535*IF(LEFT(L535,7)="Phase 1",Assumptions!$B$11,Assumptions!$B$12))</f>
        <v/>
      </c>
    </row>
    <row r="536" customFormat="false" ht="15" hidden="false" customHeight="true" outlineLevel="0" collapsed="false">
      <c r="C536" s="24"/>
      <c r="F536" s="22"/>
      <c r="G536" s="23"/>
      <c r="H536" s="24"/>
      <c r="J536" s="18" t="str">
        <f aca="false">IF(F536="","",F536*G536)</f>
        <v/>
      </c>
      <c r="K536" s="5" t="str">
        <f aca="false">IF(A536="","",IF(H536&lt;&gt;"",Assumptions!$D$5-H536,IF(C536="","",Assumptions!$D$5-(C536+Assumptions!$B$8))))</f>
        <v/>
      </c>
      <c r="L536" s="5" t="str">
        <f aca="false">IF(K536="","",IF(K536&lt;0,"Phase 1 (unliquidated)",IF(K536&lt;=Assumptions!$B$7,"Phase 1 (recently liquidated)",IF(K536&lt;=Assumptions!$B$6,"Protest required","Deadline passed — litigation only"))))</f>
        <v/>
      </c>
      <c r="M536" s="20" t="str">
        <f aca="false">IF(K536="","",IF(H536&lt;&gt;"",H536+Assumptions!$B$6,C536+Assumptions!$B$8+Assumptions!$B$6))</f>
        <v/>
      </c>
      <c r="N536" s="20" t="str">
        <f aca="false">IF(K536="","",IF(K536&lt;0,IF(H536&lt;&gt;"",H536+Assumptions!$B$7,C536+Assumptions!$B$8+Assumptions!$B$7),M536))</f>
        <v/>
      </c>
      <c r="O536" s="21" t="str">
        <f aca="false">IF(N536="","",N536-Assumptions!$D$5)</f>
        <v/>
      </c>
      <c r="P536" s="22"/>
      <c r="Q536" s="22"/>
      <c r="R536" s="18" t="str">
        <f aca="false">IF(Q536="","",Q536*IF(LEFT(L536,7)="Phase 1",Assumptions!$B$11,Assumptions!$B$12))</f>
        <v/>
      </c>
    </row>
    <row r="537" customFormat="false" ht="15" hidden="false" customHeight="true" outlineLevel="0" collapsed="false">
      <c r="C537" s="24"/>
      <c r="F537" s="22"/>
      <c r="G537" s="23"/>
      <c r="H537" s="24"/>
      <c r="J537" s="18" t="str">
        <f aca="false">IF(F537="","",F537*G537)</f>
        <v/>
      </c>
      <c r="K537" s="5" t="str">
        <f aca="false">IF(A537="","",IF(H537&lt;&gt;"",Assumptions!$D$5-H537,IF(C537="","",Assumptions!$D$5-(C537+Assumptions!$B$8))))</f>
        <v/>
      </c>
      <c r="L537" s="5" t="str">
        <f aca="false">IF(K537="","",IF(K537&lt;0,"Phase 1 (unliquidated)",IF(K537&lt;=Assumptions!$B$7,"Phase 1 (recently liquidated)",IF(K537&lt;=Assumptions!$B$6,"Protest required","Deadline passed — litigation only"))))</f>
        <v/>
      </c>
      <c r="M537" s="20" t="str">
        <f aca="false">IF(K537="","",IF(H537&lt;&gt;"",H537+Assumptions!$B$6,C537+Assumptions!$B$8+Assumptions!$B$6))</f>
        <v/>
      </c>
      <c r="N537" s="20" t="str">
        <f aca="false">IF(K537="","",IF(K537&lt;0,IF(H537&lt;&gt;"",H537+Assumptions!$B$7,C537+Assumptions!$B$8+Assumptions!$B$7),M537))</f>
        <v/>
      </c>
      <c r="O537" s="21" t="str">
        <f aca="false">IF(N537="","",N537-Assumptions!$D$5)</f>
        <v/>
      </c>
      <c r="P537" s="22"/>
      <c r="Q537" s="22"/>
      <c r="R537" s="18" t="str">
        <f aca="false">IF(Q537="","",Q537*IF(LEFT(L537,7)="Phase 1",Assumptions!$B$11,Assumptions!$B$12))</f>
        <v/>
      </c>
    </row>
    <row r="538" customFormat="false" ht="15" hidden="false" customHeight="true" outlineLevel="0" collapsed="false">
      <c r="C538" s="24"/>
      <c r="F538" s="22"/>
      <c r="G538" s="23"/>
      <c r="H538" s="24"/>
      <c r="J538" s="18" t="str">
        <f aca="false">IF(F538="","",F538*G538)</f>
        <v/>
      </c>
      <c r="K538" s="5" t="str">
        <f aca="false">IF(A538="","",IF(H538&lt;&gt;"",Assumptions!$D$5-H538,IF(C538="","",Assumptions!$D$5-(C538+Assumptions!$B$8))))</f>
        <v/>
      </c>
      <c r="L538" s="5" t="str">
        <f aca="false">IF(K538="","",IF(K538&lt;0,"Phase 1 (unliquidated)",IF(K538&lt;=Assumptions!$B$7,"Phase 1 (recently liquidated)",IF(K538&lt;=Assumptions!$B$6,"Protest required","Deadline passed — litigation only"))))</f>
        <v/>
      </c>
      <c r="M538" s="20" t="str">
        <f aca="false">IF(K538="","",IF(H538&lt;&gt;"",H538+Assumptions!$B$6,C538+Assumptions!$B$8+Assumptions!$B$6))</f>
        <v/>
      </c>
      <c r="N538" s="20" t="str">
        <f aca="false">IF(K538="","",IF(K538&lt;0,IF(H538&lt;&gt;"",H538+Assumptions!$B$7,C538+Assumptions!$B$8+Assumptions!$B$7),M538))</f>
        <v/>
      </c>
      <c r="O538" s="21" t="str">
        <f aca="false">IF(N538="","",N538-Assumptions!$D$5)</f>
        <v/>
      </c>
      <c r="P538" s="22"/>
      <c r="Q538" s="22"/>
      <c r="R538" s="18" t="str">
        <f aca="false">IF(Q538="","",Q538*IF(LEFT(L538,7)="Phase 1",Assumptions!$B$11,Assumptions!$B$12))</f>
        <v/>
      </c>
    </row>
    <row r="539" customFormat="false" ht="15" hidden="false" customHeight="true" outlineLevel="0" collapsed="false">
      <c r="C539" s="24"/>
      <c r="F539" s="22"/>
      <c r="G539" s="23"/>
      <c r="H539" s="24"/>
      <c r="J539" s="18" t="str">
        <f aca="false">IF(F539="","",F539*G539)</f>
        <v/>
      </c>
      <c r="K539" s="5" t="str">
        <f aca="false">IF(A539="","",IF(H539&lt;&gt;"",Assumptions!$D$5-H539,IF(C539="","",Assumptions!$D$5-(C539+Assumptions!$B$8))))</f>
        <v/>
      </c>
      <c r="L539" s="5" t="str">
        <f aca="false">IF(K539="","",IF(K539&lt;0,"Phase 1 (unliquidated)",IF(K539&lt;=Assumptions!$B$7,"Phase 1 (recently liquidated)",IF(K539&lt;=Assumptions!$B$6,"Protest required","Deadline passed — litigation only"))))</f>
        <v/>
      </c>
      <c r="M539" s="20" t="str">
        <f aca="false">IF(K539="","",IF(H539&lt;&gt;"",H539+Assumptions!$B$6,C539+Assumptions!$B$8+Assumptions!$B$6))</f>
        <v/>
      </c>
      <c r="N539" s="20" t="str">
        <f aca="false">IF(K539="","",IF(K539&lt;0,IF(H539&lt;&gt;"",H539+Assumptions!$B$7,C539+Assumptions!$B$8+Assumptions!$B$7),M539))</f>
        <v/>
      </c>
      <c r="O539" s="21" t="str">
        <f aca="false">IF(N539="","",N539-Assumptions!$D$5)</f>
        <v/>
      </c>
      <c r="P539" s="22"/>
      <c r="Q539" s="22"/>
      <c r="R539" s="18" t="str">
        <f aca="false">IF(Q539="","",Q539*IF(LEFT(L539,7)="Phase 1",Assumptions!$B$11,Assumptions!$B$12))</f>
        <v/>
      </c>
    </row>
    <row r="540" customFormat="false" ht="15" hidden="false" customHeight="true" outlineLevel="0" collapsed="false">
      <c r="C540" s="24"/>
      <c r="F540" s="22"/>
      <c r="G540" s="23"/>
      <c r="H540" s="24"/>
      <c r="J540" s="18" t="str">
        <f aca="false">IF(F540="","",F540*G540)</f>
        <v/>
      </c>
      <c r="K540" s="5" t="str">
        <f aca="false">IF(A540="","",IF(H540&lt;&gt;"",Assumptions!$D$5-H540,IF(C540="","",Assumptions!$D$5-(C540+Assumptions!$B$8))))</f>
        <v/>
      </c>
      <c r="L540" s="5" t="str">
        <f aca="false">IF(K540="","",IF(K540&lt;0,"Phase 1 (unliquidated)",IF(K540&lt;=Assumptions!$B$7,"Phase 1 (recently liquidated)",IF(K540&lt;=Assumptions!$B$6,"Protest required","Deadline passed — litigation only"))))</f>
        <v/>
      </c>
      <c r="M540" s="20" t="str">
        <f aca="false">IF(K540="","",IF(H540&lt;&gt;"",H540+Assumptions!$B$6,C540+Assumptions!$B$8+Assumptions!$B$6))</f>
        <v/>
      </c>
      <c r="N540" s="20" t="str">
        <f aca="false">IF(K540="","",IF(K540&lt;0,IF(H540&lt;&gt;"",H540+Assumptions!$B$7,C540+Assumptions!$B$8+Assumptions!$B$7),M540))</f>
        <v/>
      </c>
      <c r="O540" s="21" t="str">
        <f aca="false">IF(N540="","",N540-Assumptions!$D$5)</f>
        <v/>
      </c>
      <c r="P540" s="22"/>
      <c r="Q540" s="22"/>
      <c r="R540" s="18" t="str">
        <f aca="false">IF(Q540="","",Q540*IF(LEFT(L540,7)="Phase 1",Assumptions!$B$11,Assumptions!$B$12))</f>
        <v/>
      </c>
    </row>
    <row r="541" customFormat="false" ht="15" hidden="false" customHeight="true" outlineLevel="0" collapsed="false">
      <c r="C541" s="24"/>
      <c r="F541" s="22"/>
      <c r="G541" s="23"/>
      <c r="H541" s="24"/>
      <c r="J541" s="18" t="str">
        <f aca="false">IF(F541="","",F541*G541)</f>
        <v/>
      </c>
      <c r="K541" s="5" t="str">
        <f aca="false">IF(A541="","",IF(H541&lt;&gt;"",Assumptions!$D$5-H541,IF(C541="","",Assumptions!$D$5-(C541+Assumptions!$B$8))))</f>
        <v/>
      </c>
      <c r="L541" s="5" t="str">
        <f aca="false">IF(K541="","",IF(K541&lt;0,"Phase 1 (unliquidated)",IF(K541&lt;=Assumptions!$B$7,"Phase 1 (recently liquidated)",IF(K541&lt;=Assumptions!$B$6,"Protest required","Deadline passed — litigation only"))))</f>
        <v/>
      </c>
      <c r="M541" s="20" t="str">
        <f aca="false">IF(K541="","",IF(H541&lt;&gt;"",H541+Assumptions!$B$6,C541+Assumptions!$B$8+Assumptions!$B$6))</f>
        <v/>
      </c>
      <c r="N541" s="20" t="str">
        <f aca="false">IF(K541="","",IF(K541&lt;0,IF(H541&lt;&gt;"",H541+Assumptions!$B$7,C541+Assumptions!$B$8+Assumptions!$B$7),M541))</f>
        <v/>
      </c>
      <c r="O541" s="21" t="str">
        <f aca="false">IF(N541="","",N541-Assumptions!$D$5)</f>
        <v/>
      </c>
      <c r="P541" s="22"/>
      <c r="Q541" s="22"/>
      <c r="R541" s="18" t="str">
        <f aca="false">IF(Q541="","",Q541*IF(LEFT(L541,7)="Phase 1",Assumptions!$B$11,Assumptions!$B$12))</f>
        <v/>
      </c>
    </row>
    <row r="542" customFormat="false" ht="15" hidden="false" customHeight="true" outlineLevel="0" collapsed="false">
      <c r="C542" s="24"/>
      <c r="F542" s="22"/>
      <c r="G542" s="23"/>
      <c r="H542" s="24"/>
      <c r="J542" s="18" t="str">
        <f aca="false">IF(F542="","",F542*G542)</f>
        <v/>
      </c>
      <c r="K542" s="5" t="str">
        <f aca="false">IF(A542="","",IF(H542&lt;&gt;"",Assumptions!$D$5-H542,IF(C542="","",Assumptions!$D$5-(C542+Assumptions!$B$8))))</f>
        <v/>
      </c>
      <c r="L542" s="5" t="str">
        <f aca="false">IF(K542="","",IF(K542&lt;0,"Phase 1 (unliquidated)",IF(K542&lt;=Assumptions!$B$7,"Phase 1 (recently liquidated)",IF(K542&lt;=Assumptions!$B$6,"Protest required","Deadline passed — litigation only"))))</f>
        <v/>
      </c>
      <c r="M542" s="20" t="str">
        <f aca="false">IF(K542="","",IF(H542&lt;&gt;"",H542+Assumptions!$B$6,C542+Assumptions!$B$8+Assumptions!$B$6))</f>
        <v/>
      </c>
      <c r="N542" s="20" t="str">
        <f aca="false">IF(K542="","",IF(K542&lt;0,IF(H542&lt;&gt;"",H542+Assumptions!$B$7,C542+Assumptions!$B$8+Assumptions!$B$7),M542))</f>
        <v/>
      </c>
      <c r="O542" s="21" t="str">
        <f aca="false">IF(N542="","",N542-Assumptions!$D$5)</f>
        <v/>
      </c>
      <c r="P542" s="22"/>
      <c r="Q542" s="22"/>
      <c r="R542" s="18" t="str">
        <f aca="false">IF(Q542="","",Q542*IF(LEFT(L542,7)="Phase 1",Assumptions!$B$11,Assumptions!$B$12))</f>
        <v/>
      </c>
    </row>
    <row r="543" customFormat="false" ht="15" hidden="false" customHeight="true" outlineLevel="0" collapsed="false">
      <c r="C543" s="24"/>
      <c r="F543" s="22"/>
      <c r="G543" s="23"/>
      <c r="H543" s="24"/>
      <c r="J543" s="18" t="str">
        <f aca="false">IF(F543="","",F543*G543)</f>
        <v/>
      </c>
      <c r="K543" s="5" t="str">
        <f aca="false">IF(A543="","",IF(H543&lt;&gt;"",Assumptions!$D$5-H543,IF(C543="","",Assumptions!$D$5-(C543+Assumptions!$B$8))))</f>
        <v/>
      </c>
      <c r="L543" s="5" t="str">
        <f aca="false">IF(K543="","",IF(K543&lt;0,"Phase 1 (unliquidated)",IF(K543&lt;=Assumptions!$B$7,"Phase 1 (recently liquidated)",IF(K543&lt;=Assumptions!$B$6,"Protest required","Deadline passed — litigation only"))))</f>
        <v/>
      </c>
      <c r="M543" s="20" t="str">
        <f aca="false">IF(K543="","",IF(H543&lt;&gt;"",H543+Assumptions!$B$6,C543+Assumptions!$B$8+Assumptions!$B$6))</f>
        <v/>
      </c>
      <c r="N543" s="20" t="str">
        <f aca="false">IF(K543="","",IF(K543&lt;0,IF(H543&lt;&gt;"",H543+Assumptions!$B$7,C543+Assumptions!$B$8+Assumptions!$B$7),M543))</f>
        <v/>
      </c>
      <c r="O543" s="21" t="str">
        <f aca="false">IF(N543="","",N543-Assumptions!$D$5)</f>
        <v/>
      </c>
      <c r="P543" s="22"/>
      <c r="Q543" s="22"/>
      <c r="R543" s="18" t="str">
        <f aca="false">IF(Q543="","",Q543*IF(LEFT(L543,7)="Phase 1",Assumptions!$B$11,Assumptions!$B$12))</f>
        <v/>
      </c>
    </row>
    <row r="544" customFormat="false" ht="15" hidden="false" customHeight="true" outlineLevel="0" collapsed="false">
      <c r="C544" s="24"/>
      <c r="F544" s="22"/>
      <c r="G544" s="23"/>
      <c r="H544" s="24"/>
      <c r="J544" s="18" t="str">
        <f aca="false">IF(F544="","",F544*G544)</f>
        <v/>
      </c>
      <c r="K544" s="5" t="str">
        <f aca="false">IF(A544="","",IF(H544&lt;&gt;"",Assumptions!$D$5-H544,IF(C544="","",Assumptions!$D$5-(C544+Assumptions!$B$8))))</f>
        <v/>
      </c>
      <c r="L544" s="5" t="str">
        <f aca="false">IF(K544="","",IF(K544&lt;0,"Phase 1 (unliquidated)",IF(K544&lt;=Assumptions!$B$7,"Phase 1 (recently liquidated)",IF(K544&lt;=Assumptions!$B$6,"Protest required","Deadline passed — litigation only"))))</f>
        <v/>
      </c>
      <c r="M544" s="20" t="str">
        <f aca="false">IF(K544="","",IF(H544&lt;&gt;"",H544+Assumptions!$B$6,C544+Assumptions!$B$8+Assumptions!$B$6))</f>
        <v/>
      </c>
      <c r="N544" s="20" t="str">
        <f aca="false">IF(K544="","",IF(K544&lt;0,IF(H544&lt;&gt;"",H544+Assumptions!$B$7,C544+Assumptions!$B$8+Assumptions!$B$7),M544))</f>
        <v/>
      </c>
      <c r="O544" s="21" t="str">
        <f aca="false">IF(N544="","",N544-Assumptions!$D$5)</f>
        <v/>
      </c>
      <c r="P544" s="22"/>
      <c r="Q544" s="22"/>
      <c r="R544" s="18" t="str">
        <f aca="false">IF(Q544="","",Q544*IF(LEFT(L544,7)="Phase 1",Assumptions!$B$11,Assumptions!$B$12))</f>
        <v/>
      </c>
    </row>
    <row r="545" customFormat="false" ht="15" hidden="false" customHeight="true" outlineLevel="0" collapsed="false">
      <c r="C545" s="24"/>
      <c r="F545" s="22"/>
      <c r="G545" s="23"/>
      <c r="H545" s="24"/>
      <c r="J545" s="18" t="str">
        <f aca="false">IF(F545="","",F545*G545)</f>
        <v/>
      </c>
      <c r="K545" s="5" t="str">
        <f aca="false">IF(A545="","",IF(H545&lt;&gt;"",Assumptions!$D$5-H545,IF(C545="","",Assumptions!$D$5-(C545+Assumptions!$B$8))))</f>
        <v/>
      </c>
      <c r="L545" s="5" t="str">
        <f aca="false">IF(K545="","",IF(K545&lt;0,"Phase 1 (unliquidated)",IF(K545&lt;=Assumptions!$B$7,"Phase 1 (recently liquidated)",IF(K545&lt;=Assumptions!$B$6,"Protest required","Deadline passed — litigation only"))))</f>
        <v/>
      </c>
      <c r="M545" s="20" t="str">
        <f aca="false">IF(K545="","",IF(H545&lt;&gt;"",H545+Assumptions!$B$6,C545+Assumptions!$B$8+Assumptions!$B$6))</f>
        <v/>
      </c>
      <c r="N545" s="20" t="str">
        <f aca="false">IF(K545="","",IF(K545&lt;0,IF(H545&lt;&gt;"",H545+Assumptions!$B$7,C545+Assumptions!$B$8+Assumptions!$B$7),M545))</f>
        <v/>
      </c>
      <c r="O545" s="21" t="str">
        <f aca="false">IF(N545="","",N545-Assumptions!$D$5)</f>
        <v/>
      </c>
      <c r="P545" s="22"/>
      <c r="Q545" s="22"/>
      <c r="R545" s="18" t="str">
        <f aca="false">IF(Q545="","",Q545*IF(LEFT(L545,7)="Phase 1",Assumptions!$B$11,Assumptions!$B$12))</f>
        <v/>
      </c>
    </row>
    <row r="546" customFormat="false" ht="15" hidden="false" customHeight="true" outlineLevel="0" collapsed="false">
      <c r="C546" s="24"/>
      <c r="F546" s="22"/>
      <c r="G546" s="23"/>
      <c r="H546" s="24"/>
      <c r="J546" s="18" t="str">
        <f aca="false">IF(F546="","",F546*G546)</f>
        <v/>
      </c>
      <c r="K546" s="5" t="str">
        <f aca="false">IF(A546="","",IF(H546&lt;&gt;"",Assumptions!$D$5-H546,IF(C546="","",Assumptions!$D$5-(C546+Assumptions!$B$8))))</f>
        <v/>
      </c>
      <c r="L546" s="5" t="str">
        <f aca="false">IF(K546="","",IF(K546&lt;0,"Phase 1 (unliquidated)",IF(K546&lt;=Assumptions!$B$7,"Phase 1 (recently liquidated)",IF(K546&lt;=Assumptions!$B$6,"Protest required","Deadline passed — litigation only"))))</f>
        <v/>
      </c>
      <c r="M546" s="20" t="str">
        <f aca="false">IF(K546="","",IF(H546&lt;&gt;"",H546+Assumptions!$B$6,C546+Assumptions!$B$8+Assumptions!$B$6))</f>
        <v/>
      </c>
      <c r="N546" s="20" t="str">
        <f aca="false">IF(K546="","",IF(K546&lt;0,IF(H546&lt;&gt;"",H546+Assumptions!$B$7,C546+Assumptions!$B$8+Assumptions!$B$7),M546))</f>
        <v/>
      </c>
      <c r="O546" s="21" t="str">
        <f aca="false">IF(N546="","",N546-Assumptions!$D$5)</f>
        <v/>
      </c>
      <c r="P546" s="22"/>
      <c r="Q546" s="22"/>
      <c r="R546" s="18" t="str">
        <f aca="false">IF(Q546="","",Q546*IF(LEFT(L546,7)="Phase 1",Assumptions!$B$11,Assumptions!$B$12))</f>
        <v/>
      </c>
    </row>
    <row r="547" customFormat="false" ht="15" hidden="false" customHeight="true" outlineLevel="0" collapsed="false">
      <c r="C547" s="24"/>
      <c r="F547" s="22"/>
      <c r="G547" s="23"/>
      <c r="H547" s="24"/>
      <c r="J547" s="18" t="str">
        <f aca="false">IF(F547="","",F547*G547)</f>
        <v/>
      </c>
      <c r="K547" s="5" t="str">
        <f aca="false">IF(A547="","",IF(H547&lt;&gt;"",Assumptions!$D$5-H547,IF(C547="","",Assumptions!$D$5-(C547+Assumptions!$B$8))))</f>
        <v/>
      </c>
      <c r="L547" s="5" t="str">
        <f aca="false">IF(K547="","",IF(K547&lt;0,"Phase 1 (unliquidated)",IF(K547&lt;=Assumptions!$B$7,"Phase 1 (recently liquidated)",IF(K547&lt;=Assumptions!$B$6,"Protest required","Deadline passed — litigation only"))))</f>
        <v/>
      </c>
      <c r="M547" s="20" t="str">
        <f aca="false">IF(K547="","",IF(H547&lt;&gt;"",H547+Assumptions!$B$6,C547+Assumptions!$B$8+Assumptions!$B$6))</f>
        <v/>
      </c>
      <c r="N547" s="20" t="str">
        <f aca="false">IF(K547="","",IF(K547&lt;0,IF(H547&lt;&gt;"",H547+Assumptions!$B$7,C547+Assumptions!$B$8+Assumptions!$B$7),M547))</f>
        <v/>
      </c>
      <c r="O547" s="21" t="str">
        <f aca="false">IF(N547="","",N547-Assumptions!$D$5)</f>
        <v/>
      </c>
      <c r="P547" s="22"/>
      <c r="Q547" s="22"/>
      <c r="R547" s="18" t="str">
        <f aca="false">IF(Q547="","",Q547*IF(LEFT(L547,7)="Phase 1",Assumptions!$B$11,Assumptions!$B$12))</f>
        <v/>
      </c>
    </row>
    <row r="548" customFormat="false" ht="15" hidden="false" customHeight="true" outlineLevel="0" collapsed="false">
      <c r="C548" s="24"/>
      <c r="F548" s="22"/>
      <c r="G548" s="23"/>
      <c r="H548" s="24"/>
      <c r="J548" s="18" t="str">
        <f aca="false">IF(F548="","",F548*G548)</f>
        <v/>
      </c>
      <c r="K548" s="5" t="str">
        <f aca="false">IF(A548="","",IF(H548&lt;&gt;"",Assumptions!$D$5-H548,IF(C548="","",Assumptions!$D$5-(C548+Assumptions!$B$8))))</f>
        <v/>
      </c>
      <c r="L548" s="5" t="str">
        <f aca="false">IF(K548="","",IF(K548&lt;0,"Phase 1 (unliquidated)",IF(K548&lt;=Assumptions!$B$7,"Phase 1 (recently liquidated)",IF(K548&lt;=Assumptions!$B$6,"Protest required","Deadline passed — litigation only"))))</f>
        <v/>
      </c>
      <c r="M548" s="20" t="str">
        <f aca="false">IF(K548="","",IF(H548&lt;&gt;"",H548+Assumptions!$B$6,C548+Assumptions!$B$8+Assumptions!$B$6))</f>
        <v/>
      </c>
      <c r="N548" s="20" t="str">
        <f aca="false">IF(K548="","",IF(K548&lt;0,IF(H548&lt;&gt;"",H548+Assumptions!$B$7,C548+Assumptions!$B$8+Assumptions!$B$7),M548))</f>
        <v/>
      </c>
      <c r="O548" s="21" t="str">
        <f aca="false">IF(N548="","",N548-Assumptions!$D$5)</f>
        <v/>
      </c>
      <c r="P548" s="22"/>
      <c r="Q548" s="22"/>
      <c r="R548" s="18" t="str">
        <f aca="false">IF(Q548="","",Q548*IF(LEFT(L548,7)="Phase 1",Assumptions!$B$11,Assumptions!$B$12))</f>
        <v/>
      </c>
    </row>
    <row r="549" customFormat="false" ht="15" hidden="false" customHeight="true" outlineLevel="0" collapsed="false">
      <c r="C549" s="24"/>
      <c r="F549" s="22"/>
      <c r="G549" s="23"/>
      <c r="H549" s="24"/>
      <c r="J549" s="18" t="str">
        <f aca="false">IF(F549="","",F549*G549)</f>
        <v/>
      </c>
      <c r="K549" s="5" t="str">
        <f aca="false">IF(A549="","",IF(H549&lt;&gt;"",Assumptions!$D$5-H549,IF(C549="","",Assumptions!$D$5-(C549+Assumptions!$B$8))))</f>
        <v/>
      </c>
      <c r="L549" s="5" t="str">
        <f aca="false">IF(K549="","",IF(K549&lt;0,"Phase 1 (unliquidated)",IF(K549&lt;=Assumptions!$B$7,"Phase 1 (recently liquidated)",IF(K549&lt;=Assumptions!$B$6,"Protest required","Deadline passed — litigation only"))))</f>
        <v/>
      </c>
      <c r="M549" s="20" t="str">
        <f aca="false">IF(K549="","",IF(H549&lt;&gt;"",H549+Assumptions!$B$6,C549+Assumptions!$B$8+Assumptions!$B$6))</f>
        <v/>
      </c>
      <c r="N549" s="20" t="str">
        <f aca="false">IF(K549="","",IF(K549&lt;0,IF(H549&lt;&gt;"",H549+Assumptions!$B$7,C549+Assumptions!$B$8+Assumptions!$B$7),M549))</f>
        <v/>
      </c>
      <c r="O549" s="21" t="str">
        <f aca="false">IF(N549="","",N549-Assumptions!$D$5)</f>
        <v/>
      </c>
      <c r="P549" s="22"/>
      <c r="Q549" s="22"/>
      <c r="R549" s="18" t="str">
        <f aca="false">IF(Q549="","",Q549*IF(LEFT(L549,7)="Phase 1",Assumptions!$B$11,Assumptions!$B$12))</f>
        <v/>
      </c>
    </row>
    <row r="550" customFormat="false" ht="15" hidden="false" customHeight="true" outlineLevel="0" collapsed="false">
      <c r="C550" s="24"/>
      <c r="F550" s="22"/>
      <c r="G550" s="23"/>
      <c r="H550" s="24"/>
      <c r="J550" s="18" t="str">
        <f aca="false">IF(F550="","",F550*G550)</f>
        <v/>
      </c>
      <c r="K550" s="5" t="str">
        <f aca="false">IF(A550="","",IF(H550&lt;&gt;"",Assumptions!$D$5-H550,IF(C550="","",Assumptions!$D$5-(C550+Assumptions!$B$8))))</f>
        <v/>
      </c>
      <c r="L550" s="5" t="str">
        <f aca="false">IF(K550="","",IF(K550&lt;0,"Phase 1 (unliquidated)",IF(K550&lt;=Assumptions!$B$7,"Phase 1 (recently liquidated)",IF(K550&lt;=Assumptions!$B$6,"Protest required","Deadline passed — litigation only"))))</f>
        <v/>
      </c>
      <c r="M550" s="20" t="str">
        <f aca="false">IF(K550="","",IF(H550&lt;&gt;"",H550+Assumptions!$B$6,C550+Assumptions!$B$8+Assumptions!$B$6))</f>
        <v/>
      </c>
      <c r="N550" s="20" t="str">
        <f aca="false">IF(K550="","",IF(K550&lt;0,IF(H550&lt;&gt;"",H550+Assumptions!$B$7,C550+Assumptions!$B$8+Assumptions!$B$7),M550))</f>
        <v/>
      </c>
      <c r="O550" s="21" t="str">
        <f aca="false">IF(N550="","",N550-Assumptions!$D$5)</f>
        <v/>
      </c>
      <c r="P550" s="22"/>
      <c r="Q550" s="22"/>
      <c r="R550" s="18" t="str">
        <f aca="false">IF(Q550="","",Q550*IF(LEFT(L550,7)="Phase 1",Assumptions!$B$11,Assumptions!$B$12))</f>
        <v/>
      </c>
    </row>
    <row r="551" customFormat="false" ht="15" hidden="false" customHeight="true" outlineLevel="0" collapsed="false">
      <c r="C551" s="24"/>
      <c r="F551" s="22"/>
      <c r="G551" s="23"/>
      <c r="H551" s="24"/>
      <c r="J551" s="18" t="str">
        <f aca="false">IF(F551="","",F551*G551)</f>
        <v/>
      </c>
      <c r="K551" s="5" t="str">
        <f aca="false">IF(A551="","",IF(H551&lt;&gt;"",Assumptions!$D$5-H551,IF(C551="","",Assumptions!$D$5-(C551+Assumptions!$B$8))))</f>
        <v/>
      </c>
      <c r="L551" s="5" t="str">
        <f aca="false">IF(K551="","",IF(K551&lt;0,"Phase 1 (unliquidated)",IF(K551&lt;=Assumptions!$B$7,"Phase 1 (recently liquidated)",IF(K551&lt;=Assumptions!$B$6,"Protest required","Deadline passed — litigation only"))))</f>
        <v/>
      </c>
      <c r="M551" s="20" t="str">
        <f aca="false">IF(K551="","",IF(H551&lt;&gt;"",H551+Assumptions!$B$6,C551+Assumptions!$B$8+Assumptions!$B$6))</f>
        <v/>
      </c>
      <c r="N551" s="20" t="str">
        <f aca="false">IF(K551="","",IF(K551&lt;0,IF(H551&lt;&gt;"",H551+Assumptions!$B$7,C551+Assumptions!$B$8+Assumptions!$B$7),M551))</f>
        <v/>
      </c>
      <c r="O551" s="21" t="str">
        <f aca="false">IF(N551="","",N551-Assumptions!$D$5)</f>
        <v/>
      </c>
      <c r="P551" s="22"/>
      <c r="Q551" s="22"/>
      <c r="R551" s="18" t="str">
        <f aca="false">IF(Q551="","",Q551*IF(LEFT(L551,7)="Phase 1",Assumptions!$B$11,Assumptions!$B$12))</f>
        <v/>
      </c>
    </row>
    <row r="552" customFormat="false" ht="15" hidden="false" customHeight="true" outlineLevel="0" collapsed="false">
      <c r="C552" s="24"/>
      <c r="F552" s="22"/>
      <c r="G552" s="23"/>
      <c r="H552" s="24"/>
      <c r="J552" s="18" t="str">
        <f aca="false">IF(F552="","",F552*G552)</f>
        <v/>
      </c>
      <c r="K552" s="5" t="str">
        <f aca="false">IF(A552="","",IF(H552&lt;&gt;"",Assumptions!$D$5-H552,IF(C552="","",Assumptions!$D$5-(C552+Assumptions!$B$8))))</f>
        <v/>
      </c>
      <c r="L552" s="5" t="str">
        <f aca="false">IF(K552="","",IF(K552&lt;0,"Phase 1 (unliquidated)",IF(K552&lt;=Assumptions!$B$7,"Phase 1 (recently liquidated)",IF(K552&lt;=Assumptions!$B$6,"Protest required","Deadline passed — litigation only"))))</f>
        <v/>
      </c>
      <c r="M552" s="20" t="str">
        <f aca="false">IF(K552="","",IF(H552&lt;&gt;"",H552+Assumptions!$B$6,C552+Assumptions!$B$8+Assumptions!$B$6))</f>
        <v/>
      </c>
      <c r="N552" s="20" t="str">
        <f aca="false">IF(K552="","",IF(K552&lt;0,IF(H552&lt;&gt;"",H552+Assumptions!$B$7,C552+Assumptions!$B$8+Assumptions!$B$7),M552))</f>
        <v/>
      </c>
      <c r="O552" s="21" t="str">
        <f aca="false">IF(N552="","",N552-Assumptions!$D$5)</f>
        <v/>
      </c>
      <c r="P552" s="22"/>
      <c r="Q552" s="22"/>
      <c r="R552" s="18" t="str">
        <f aca="false">IF(Q552="","",Q552*IF(LEFT(L552,7)="Phase 1",Assumptions!$B$11,Assumptions!$B$12))</f>
        <v/>
      </c>
    </row>
    <row r="553" customFormat="false" ht="15" hidden="false" customHeight="true" outlineLevel="0" collapsed="false">
      <c r="C553" s="24"/>
      <c r="F553" s="22"/>
      <c r="G553" s="23"/>
      <c r="H553" s="24"/>
      <c r="J553" s="18" t="str">
        <f aca="false">IF(F553="","",F553*G553)</f>
        <v/>
      </c>
      <c r="K553" s="5" t="str">
        <f aca="false">IF(A553="","",IF(H553&lt;&gt;"",Assumptions!$D$5-H553,IF(C553="","",Assumptions!$D$5-(C553+Assumptions!$B$8))))</f>
        <v/>
      </c>
      <c r="L553" s="5" t="str">
        <f aca="false">IF(K553="","",IF(K553&lt;0,"Phase 1 (unliquidated)",IF(K553&lt;=Assumptions!$B$7,"Phase 1 (recently liquidated)",IF(K553&lt;=Assumptions!$B$6,"Protest required","Deadline passed — litigation only"))))</f>
        <v/>
      </c>
      <c r="M553" s="20" t="str">
        <f aca="false">IF(K553="","",IF(H553&lt;&gt;"",H553+Assumptions!$B$6,C553+Assumptions!$B$8+Assumptions!$B$6))</f>
        <v/>
      </c>
      <c r="N553" s="20" t="str">
        <f aca="false">IF(K553="","",IF(K553&lt;0,IF(H553&lt;&gt;"",H553+Assumptions!$B$7,C553+Assumptions!$B$8+Assumptions!$B$7),M553))</f>
        <v/>
      </c>
      <c r="O553" s="21" t="str">
        <f aca="false">IF(N553="","",N553-Assumptions!$D$5)</f>
        <v/>
      </c>
      <c r="P553" s="22"/>
      <c r="Q553" s="22"/>
      <c r="R553" s="18" t="str">
        <f aca="false">IF(Q553="","",Q553*IF(LEFT(L553,7)="Phase 1",Assumptions!$B$11,Assumptions!$B$12))</f>
        <v/>
      </c>
    </row>
    <row r="554" customFormat="false" ht="15" hidden="false" customHeight="true" outlineLevel="0" collapsed="false">
      <c r="C554" s="24"/>
      <c r="F554" s="22"/>
      <c r="G554" s="23"/>
      <c r="H554" s="24"/>
      <c r="J554" s="18" t="str">
        <f aca="false">IF(F554="","",F554*G554)</f>
        <v/>
      </c>
      <c r="K554" s="5" t="str">
        <f aca="false">IF(A554="","",IF(H554&lt;&gt;"",Assumptions!$D$5-H554,IF(C554="","",Assumptions!$D$5-(C554+Assumptions!$B$8))))</f>
        <v/>
      </c>
      <c r="L554" s="5" t="str">
        <f aca="false">IF(K554="","",IF(K554&lt;0,"Phase 1 (unliquidated)",IF(K554&lt;=Assumptions!$B$7,"Phase 1 (recently liquidated)",IF(K554&lt;=Assumptions!$B$6,"Protest required","Deadline passed — litigation only"))))</f>
        <v/>
      </c>
      <c r="M554" s="20" t="str">
        <f aca="false">IF(K554="","",IF(H554&lt;&gt;"",H554+Assumptions!$B$6,C554+Assumptions!$B$8+Assumptions!$B$6))</f>
        <v/>
      </c>
      <c r="N554" s="20" t="str">
        <f aca="false">IF(K554="","",IF(K554&lt;0,IF(H554&lt;&gt;"",H554+Assumptions!$B$7,C554+Assumptions!$B$8+Assumptions!$B$7),M554))</f>
        <v/>
      </c>
      <c r="O554" s="21" t="str">
        <f aca="false">IF(N554="","",N554-Assumptions!$D$5)</f>
        <v/>
      </c>
      <c r="P554" s="22"/>
      <c r="Q554" s="22"/>
      <c r="R554" s="18" t="str">
        <f aca="false">IF(Q554="","",Q554*IF(LEFT(L554,7)="Phase 1",Assumptions!$B$11,Assumptions!$B$12))</f>
        <v/>
      </c>
    </row>
    <row r="555" customFormat="false" ht="15" hidden="false" customHeight="true" outlineLevel="0" collapsed="false">
      <c r="C555" s="24"/>
      <c r="F555" s="22"/>
      <c r="G555" s="23"/>
      <c r="H555" s="24"/>
      <c r="J555" s="18" t="str">
        <f aca="false">IF(F555="","",F555*G555)</f>
        <v/>
      </c>
      <c r="K555" s="5" t="str">
        <f aca="false">IF(A555="","",IF(H555&lt;&gt;"",Assumptions!$D$5-H555,IF(C555="","",Assumptions!$D$5-(C555+Assumptions!$B$8))))</f>
        <v/>
      </c>
      <c r="L555" s="5" t="str">
        <f aca="false">IF(K555="","",IF(K555&lt;0,"Phase 1 (unliquidated)",IF(K555&lt;=Assumptions!$B$7,"Phase 1 (recently liquidated)",IF(K555&lt;=Assumptions!$B$6,"Protest required","Deadline passed — litigation only"))))</f>
        <v/>
      </c>
      <c r="M555" s="20" t="str">
        <f aca="false">IF(K555="","",IF(H555&lt;&gt;"",H555+Assumptions!$B$6,C555+Assumptions!$B$8+Assumptions!$B$6))</f>
        <v/>
      </c>
      <c r="N555" s="20" t="str">
        <f aca="false">IF(K555="","",IF(K555&lt;0,IF(H555&lt;&gt;"",H555+Assumptions!$B$7,C555+Assumptions!$B$8+Assumptions!$B$7),M555))</f>
        <v/>
      </c>
      <c r="O555" s="21" t="str">
        <f aca="false">IF(N555="","",N555-Assumptions!$D$5)</f>
        <v/>
      </c>
      <c r="P555" s="22"/>
      <c r="Q555" s="22"/>
      <c r="R555" s="18" t="str">
        <f aca="false">IF(Q555="","",Q555*IF(LEFT(L555,7)="Phase 1",Assumptions!$B$11,Assumptions!$B$12))</f>
        <v/>
      </c>
    </row>
    <row r="556" customFormat="false" ht="15" hidden="false" customHeight="true" outlineLevel="0" collapsed="false">
      <c r="C556" s="24"/>
      <c r="F556" s="22"/>
      <c r="G556" s="23"/>
      <c r="H556" s="24"/>
      <c r="J556" s="18" t="str">
        <f aca="false">IF(F556="","",F556*G556)</f>
        <v/>
      </c>
      <c r="K556" s="5" t="str">
        <f aca="false">IF(A556="","",IF(H556&lt;&gt;"",Assumptions!$D$5-H556,IF(C556="","",Assumptions!$D$5-(C556+Assumptions!$B$8))))</f>
        <v/>
      </c>
      <c r="L556" s="5" t="str">
        <f aca="false">IF(K556="","",IF(K556&lt;0,"Phase 1 (unliquidated)",IF(K556&lt;=Assumptions!$B$7,"Phase 1 (recently liquidated)",IF(K556&lt;=Assumptions!$B$6,"Protest required","Deadline passed — litigation only"))))</f>
        <v/>
      </c>
      <c r="M556" s="20" t="str">
        <f aca="false">IF(K556="","",IF(H556&lt;&gt;"",H556+Assumptions!$B$6,C556+Assumptions!$B$8+Assumptions!$B$6))</f>
        <v/>
      </c>
      <c r="N556" s="20" t="str">
        <f aca="false">IF(K556="","",IF(K556&lt;0,IF(H556&lt;&gt;"",H556+Assumptions!$B$7,C556+Assumptions!$B$8+Assumptions!$B$7),M556))</f>
        <v/>
      </c>
      <c r="O556" s="21" t="str">
        <f aca="false">IF(N556="","",N556-Assumptions!$D$5)</f>
        <v/>
      </c>
      <c r="P556" s="22"/>
      <c r="Q556" s="22"/>
      <c r="R556" s="18" t="str">
        <f aca="false">IF(Q556="","",Q556*IF(LEFT(L556,7)="Phase 1",Assumptions!$B$11,Assumptions!$B$12))</f>
        <v/>
      </c>
    </row>
    <row r="557" customFormat="false" ht="15" hidden="false" customHeight="true" outlineLevel="0" collapsed="false">
      <c r="C557" s="24"/>
      <c r="F557" s="22"/>
      <c r="G557" s="23"/>
      <c r="H557" s="24"/>
      <c r="J557" s="18" t="str">
        <f aca="false">IF(F557="","",F557*G557)</f>
        <v/>
      </c>
      <c r="K557" s="5" t="str">
        <f aca="false">IF(A557="","",IF(H557&lt;&gt;"",Assumptions!$D$5-H557,IF(C557="","",Assumptions!$D$5-(C557+Assumptions!$B$8))))</f>
        <v/>
      </c>
      <c r="L557" s="5" t="str">
        <f aca="false">IF(K557="","",IF(K557&lt;0,"Phase 1 (unliquidated)",IF(K557&lt;=Assumptions!$B$7,"Phase 1 (recently liquidated)",IF(K557&lt;=Assumptions!$B$6,"Protest required","Deadline passed — litigation only"))))</f>
        <v/>
      </c>
      <c r="M557" s="20" t="str">
        <f aca="false">IF(K557="","",IF(H557&lt;&gt;"",H557+Assumptions!$B$6,C557+Assumptions!$B$8+Assumptions!$B$6))</f>
        <v/>
      </c>
      <c r="N557" s="20" t="str">
        <f aca="false">IF(K557="","",IF(K557&lt;0,IF(H557&lt;&gt;"",H557+Assumptions!$B$7,C557+Assumptions!$B$8+Assumptions!$B$7),M557))</f>
        <v/>
      </c>
      <c r="O557" s="21" t="str">
        <f aca="false">IF(N557="","",N557-Assumptions!$D$5)</f>
        <v/>
      </c>
      <c r="P557" s="22"/>
      <c r="Q557" s="22"/>
      <c r="R557" s="18" t="str">
        <f aca="false">IF(Q557="","",Q557*IF(LEFT(L557,7)="Phase 1",Assumptions!$B$11,Assumptions!$B$12))</f>
        <v/>
      </c>
    </row>
    <row r="558" customFormat="false" ht="15" hidden="false" customHeight="true" outlineLevel="0" collapsed="false">
      <c r="C558" s="24"/>
      <c r="F558" s="22"/>
      <c r="G558" s="23"/>
      <c r="H558" s="24"/>
      <c r="J558" s="18" t="str">
        <f aca="false">IF(F558="","",F558*G558)</f>
        <v/>
      </c>
      <c r="K558" s="5" t="str">
        <f aca="false">IF(A558="","",IF(H558&lt;&gt;"",Assumptions!$D$5-H558,IF(C558="","",Assumptions!$D$5-(C558+Assumptions!$B$8))))</f>
        <v/>
      </c>
      <c r="L558" s="5" t="str">
        <f aca="false">IF(K558="","",IF(K558&lt;0,"Phase 1 (unliquidated)",IF(K558&lt;=Assumptions!$B$7,"Phase 1 (recently liquidated)",IF(K558&lt;=Assumptions!$B$6,"Protest required","Deadline passed — litigation only"))))</f>
        <v/>
      </c>
      <c r="M558" s="20" t="str">
        <f aca="false">IF(K558="","",IF(H558&lt;&gt;"",H558+Assumptions!$B$6,C558+Assumptions!$B$8+Assumptions!$B$6))</f>
        <v/>
      </c>
      <c r="N558" s="20" t="str">
        <f aca="false">IF(K558="","",IF(K558&lt;0,IF(H558&lt;&gt;"",H558+Assumptions!$B$7,C558+Assumptions!$B$8+Assumptions!$B$7),M558))</f>
        <v/>
      </c>
      <c r="O558" s="21" t="str">
        <f aca="false">IF(N558="","",N558-Assumptions!$D$5)</f>
        <v/>
      </c>
      <c r="P558" s="22"/>
      <c r="Q558" s="22"/>
      <c r="R558" s="18" t="str">
        <f aca="false">IF(Q558="","",Q558*IF(LEFT(L558,7)="Phase 1",Assumptions!$B$11,Assumptions!$B$12))</f>
        <v/>
      </c>
    </row>
    <row r="559" customFormat="false" ht="15" hidden="false" customHeight="true" outlineLevel="0" collapsed="false">
      <c r="C559" s="24"/>
      <c r="F559" s="22"/>
      <c r="G559" s="23"/>
      <c r="H559" s="24"/>
      <c r="J559" s="18" t="str">
        <f aca="false">IF(F559="","",F559*G559)</f>
        <v/>
      </c>
      <c r="K559" s="5" t="str">
        <f aca="false">IF(A559="","",IF(H559&lt;&gt;"",Assumptions!$D$5-H559,IF(C559="","",Assumptions!$D$5-(C559+Assumptions!$B$8))))</f>
        <v/>
      </c>
      <c r="L559" s="5" t="str">
        <f aca="false">IF(K559="","",IF(K559&lt;0,"Phase 1 (unliquidated)",IF(K559&lt;=Assumptions!$B$7,"Phase 1 (recently liquidated)",IF(K559&lt;=Assumptions!$B$6,"Protest required","Deadline passed — litigation only"))))</f>
        <v/>
      </c>
      <c r="M559" s="20" t="str">
        <f aca="false">IF(K559="","",IF(H559&lt;&gt;"",H559+Assumptions!$B$6,C559+Assumptions!$B$8+Assumptions!$B$6))</f>
        <v/>
      </c>
      <c r="N559" s="20" t="str">
        <f aca="false">IF(K559="","",IF(K559&lt;0,IF(H559&lt;&gt;"",H559+Assumptions!$B$7,C559+Assumptions!$B$8+Assumptions!$B$7),M559))</f>
        <v/>
      </c>
      <c r="O559" s="21" t="str">
        <f aca="false">IF(N559="","",N559-Assumptions!$D$5)</f>
        <v/>
      </c>
      <c r="P559" s="22"/>
      <c r="Q559" s="22"/>
      <c r="R559" s="18" t="str">
        <f aca="false">IF(Q559="","",Q559*IF(LEFT(L559,7)="Phase 1",Assumptions!$B$11,Assumptions!$B$12))</f>
        <v/>
      </c>
    </row>
    <row r="560" customFormat="false" ht="15" hidden="false" customHeight="true" outlineLevel="0" collapsed="false">
      <c r="C560" s="24"/>
      <c r="F560" s="22"/>
      <c r="G560" s="23"/>
      <c r="H560" s="24"/>
      <c r="J560" s="18" t="str">
        <f aca="false">IF(F560="","",F560*G560)</f>
        <v/>
      </c>
      <c r="K560" s="5" t="str">
        <f aca="false">IF(A560="","",IF(H560&lt;&gt;"",Assumptions!$D$5-H560,IF(C560="","",Assumptions!$D$5-(C560+Assumptions!$B$8))))</f>
        <v/>
      </c>
      <c r="L560" s="5" t="str">
        <f aca="false">IF(K560="","",IF(K560&lt;0,"Phase 1 (unliquidated)",IF(K560&lt;=Assumptions!$B$7,"Phase 1 (recently liquidated)",IF(K560&lt;=Assumptions!$B$6,"Protest required","Deadline passed — litigation only"))))</f>
        <v/>
      </c>
      <c r="M560" s="20" t="str">
        <f aca="false">IF(K560="","",IF(H560&lt;&gt;"",H560+Assumptions!$B$6,C560+Assumptions!$B$8+Assumptions!$B$6))</f>
        <v/>
      </c>
      <c r="N560" s="20" t="str">
        <f aca="false">IF(K560="","",IF(K560&lt;0,IF(H560&lt;&gt;"",H560+Assumptions!$B$7,C560+Assumptions!$B$8+Assumptions!$B$7),M560))</f>
        <v/>
      </c>
      <c r="O560" s="21" t="str">
        <f aca="false">IF(N560="","",N560-Assumptions!$D$5)</f>
        <v/>
      </c>
      <c r="P560" s="22"/>
      <c r="Q560" s="22"/>
      <c r="R560" s="18" t="str">
        <f aca="false">IF(Q560="","",Q560*IF(LEFT(L560,7)="Phase 1",Assumptions!$B$11,Assumptions!$B$12))</f>
        <v/>
      </c>
    </row>
    <row r="561" customFormat="false" ht="15" hidden="false" customHeight="true" outlineLevel="0" collapsed="false">
      <c r="C561" s="24"/>
      <c r="F561" s="22"/>
      <c r="G561" s="23"/>
      <c r="H561" s="24"/>
      <c r="J561" s="18" t="str">
        <f aca="false">IF(F561="","",F561*G561)</f>
        <v/>
      </c>
      <c r="K561" s="5" t="str">
        <f aca="false">IF(A561="","",IF(H561&lt;&gt;"",Assumptions!$D$5-H561,IF(C561="","",Assumptions!$D$5-(C561+Assumptions!$B$8))))</f>
        <v/>
      </c>
      <c r="L561" s="5" t="str">
        <f aca="false">IF(K561="","",IF(K561&lt;0,"Phase 1 (unliquidated)",IF(K561&lt;=Assumptions!$B$7,"Phase 1 (recently liquidated)",IF(K561&lt;=Assumptions!$B$6,"Protest required","Deadline passed — litigation only"))))</f>
        <v/>
      </c>
      <c r="M561" s="20" t="str">
        <f aca="false">IF(K561="","",IF(H561&lt;&gt;"",H561+Assumptions!$B$6,C561+Assumptions!$B$8+Assumptions!$B$6))</f>
        <v/>
      </c>
      <c r="N561" s="20" t="str">
        <f aca="false">IF(K561="","",IF(K561&lt;0,IF(H561&lt;&gt;"",H561+Assumptions!$B$7,C561+Assumptions!$B$8+Assumptions!$B$7),M561))</f>
        <v/>
      </c>
      <c r="O561" s="21" t="str">
        <f aca="false">IF(N561="","",N561-Assumptions!$D$5)</f>
        <v/>
      </c>
      <c r="P561" s="22"/>
      <c r="Q561" s="22"/>
      <c r="R561" s="18" t="str">
        <f aca="false">IF(Q561="","",Q561*IF(LEFT(L561,7)="Phase 1",Assumptions!$B$11,Assumptions!$B$12))</f>
        <v/>
      </c>
    </row>
    <row r="562" customFormat="false" ht="15" hidden="false" customHeight="true" outlineLevel="0" collapsed="false">
      <c r="C562" s="24"/>
      <c r="F562" s="22"/>
      <c r="G562" s="23"/>
      <c r="H562" s="24"/>
      <c r="J562" s="18" t="str">
        <f aca="false">IF(F562="","",F562*G562)</f>
        <v/>
      </c>
      <c r="K562" s="5" t="str">
        <f aca="false">IF(A562="","",IF(H562&lt;&gt;"",Assumptions!$D$5-H562,IF(C562="","",Assumptions!$D$5-(C562+Assumptions!$B$8))))</f>
        <v/>
      </c>
      <c r="L562" s="5" t="str">
        <f aca="false">IF(K562="","",IF(K562&lt;0,"Phase 1 (unliquidated)",IF(K562&lt;=Assumptions!$B$7,"Phase 1 (recently liquidated)",IF(K562&lt;=Assumptions!$B$6,"Protest required","Deadline passed — litigation only"))))</f>
        <v/>
      </c>
      <c r="M562" s="20" t="str">
        <f aca="false">IF(K562="","",IF(H562&lt;&gt;"",H562+Assumptions!$B$6,C562+Assumptions!$B$8+Assumptions!$B$6))</f>
        <v/>
      </c>
      <c r="N562" s="20" t="str">
        <f aca="false">IF(K562="","",IF(K562&lt;0,IF(H562&lt;&gt;"",H562+Assumptions!$B$7,C562+Assumptions!$B$8+Assumptions!$B$7),M562))</f>
        <v/>
      </c>
      <c r="O562" s="21" t="str">
        <f aca="false">IF(N562="","",N562-Assumptions!$D$5)</f>
        <v/>
      </c>
      <c r="P562" s="22"/>
      <c r="Q562" s="22"/>
      <c r="R562" s="18" t="str">
        <f aca="false">IF(Q562="","",Q562*IF(LEFT(L562,7)="Phase 1",Assumptions!$B$11,Assumptions!$B$12))</f>
        <v/>
      </c>
    </row>
    <row r="563" customFormat="false" ht="15" hidden="false" customHeight="true" outlineLevel="0" collapsed="false">
      <c r="C563" s="24"/>
      <c r="F563" s="22"/>
      <c r="G563" s="23"/>
      <c r="H563" s="24"/>
      <c r="J563" s="18" t="str">
        <f aca="false">IF(F563="","",F563*G563)</f>
        <v/>
      </c>
      <c r="K563" s="5" t="str">
        <f aca="false">IF(A563="","",IF(H563&lt;&gt;"",Assumptions!$D$5-H563,IF(C563="","",Assumptions!$D$5-(C563+Assumptions!$B$8))))</f>
        <v/>
      </c>
      <c r="L563" s="5" t="str">
        <f aca="false">IF(K563="","",IF(K563&lt;0,"Phase 1 (unliquidated)",IF(K563&lt;=Assumptions!$B$7,"Phase 1 (recently liquidated)",IF(K563&lt;=Assumptions!$B$6,"Protest required","Deadline passed — litigation only"))))</f>
        <v/>
      </c>
      <c r="M563" s="20" t="str">
        <f aca="false">IF(K563="","",IF(H563&lt;&gt;"",H563+Assumptions!$B$6,C563+Assumptions!$B$8+Assumptions!$B$6))</f>
        <v/>
      </c>
      <c r="N563" s="20" t="str">
        <f aca="false">IF(K563="","",IF(K563&lt;0,IF(H563&lt;&gt;"",H563+Assumptions!$B$7,C563+Assumptions!$B$8+Assumptions!$B$7),M563))</f>
        <v/>
      </c>
      <c r="O563" s="21" t="str">
        <f aca="false">IF(N563="","",N563-Assumptions!$D$5)</f>
        <v/>
      </c>
      <c r="P563" s="22"/>
      <c r="Q563" s="22"/>
      <c r="R563" s="18" t="str">
        <f aca="false">IF(Q563="","",Q563*IF(LEFT(L563,7)="Phase 1",Assumptions!$B$11,Assumptions!$B$12))</f>
        <v/>
      </c>
    </row>
    <row r="564" customFormat="false" ht="15" hidden="false" customHeight="true" outlineLevel="0" collapsed="false">
      <c r="C564" s="24"/>
      <c r="F564" s="22"/>
      <c r="G564" s="23"/>
      <c r="H564" s="24"/>
      <c r="J564" s="18" t="str">
        <f aca="false">IF(F564="","",F564*G564)</f>
        <v/>
      </c>
      <c r="K564" s="5" t="str">
        <f aca="false">IF(A564="","",IF(H564&lt;&gt;"",Assumptions!$D$5-H564,IF(C564="","",Assumptions!$D$5-(C564+Assumptions!$B$8))))</f>
        <v/>
      </c>
      <c r="L564" s="5" t="str">
        <f aca="false">IF(K564="","",IF(K564&lt;0,"Phase 1 (unliquidated)",IF(K564&lt;=Assumptions!$B$7,"Phase 1 (recently liquidated)",IF(K564&lt;=Assumptions!$B$6,"Protest required","Deadline passed — litigation only"))))</f>
        <v/>
      </c>
      <c r="M564" s="20" t="str">
        <f aca="false">IF(K564="","",IF(H564&lt;&gt;"",H564+Assumptions!$B$6,C564+Assumptions!$B$8+Assumptions!$B$6))</f>
        <v/>
      </c>
      <c r="N564" s="20" t="str">
        <f aca="false">IF(K564="","",IF(K564&lt;0,IF(H564&lt;&gt;"",H564+Assumptions!$B$7,C564+Assumptions!$B$8+Assumptions!$B$7),M564))</f>
        <v/>
      </c>
      <c r="O564" s="21" t="str">
        <f aca="false">IF(N564="","",N564-Assumptions!$D$5)</f>
        <v/>
      </c>
      <c r="P564" s="22"/>
      <c r="Q564" s="22"/>
      <c r="R564" s="18" t="str">
        <f aca="false">IF(Q564="","",Q564*IF(LEFT(L564,7)="Phase 1",Assumptions!$B$11,Assumptions!$B$12))</f>
        <v/>
      </c>
    </row>
    <row r="565" customFormat="false" ht="15" hidden="false" customHeight="true" outlineLevel="0" collapsed="false">
      <c r="C565" s="24"/>
      <c r="F565" s="22"/>
      <c r="G565" s="23"/>
      <c r="H565" s="24"/>
      <c r="J565" s="18" t="str">
        <f aca="false">IF(F565="","",F565*G565)</f>
        <v/>
      </c>
      <c r="K565" s="5" t="str">
        <f aca="false">IF(A565="","",IF(H565&lt;&gt;"",Assumptions!$D$5-H565,IF(C565="","",Assumptions!$D$5-(C565+Assumptions!$B$8))))</f>
        <v/>
      </c>
      <c r="L565" s="5" t="str">
        <f aca="false">IF(K565="","",IF(K565&lt;0,"Phase 1 (unliquidated)",IF(K565&lt;=Assumptions!$B$7,"Phase 1 (recently liquidated)",IF(K565&lt;=Assumptions!$B$6,"Protest required","Deadline passed — litigation only"))))</f>
        <v/>
      </c>
      <c r="M565" s="20" t="str">
        <f aca="false">IF(K565="","",IF(H565&lt;&gt;"",H565+Assumptions!$B$6,C565+Assumptions!$B$8+Assumptions!$B$6))</f>
        <v/>
      </c>
      <c r="N565" s="20" t="str">
        <f aca="false">IF(K565="","",IF(K565&lt;0,IF(H565&lt;&gt;"",H565+Assumptions!$B$7,C565+Assumptions!$B$8+Assumptions!$B$7),M565))</f>
        <v/>
      </c>
      <c r="O565" s="21" t="str">
        <f aca="false">IF(N565="","",N565-Assumptions!$D$5)</f>
        <v/>
      </c>
      <c r="P565" s="22"/>
      <c r="Q565" s="22"/>
      <c r="R565" s="18" t="str">
        <f aca="false">IF(Q565="","",Q565*IF(LEFT(L565,7)="Phase 1",Assumptions!$B$11,Assumptions!$B$12))</f>
        <v/>
      </c>
    </row>
    <row r="566" customFormat="false" ht="15" hidden="false" customHeight="true" outlineLevel="0" collapsed="false">
      <c r="C566" s="24"/>
      <c r="F566" s="22"/>
      <c r="G566" s="23"/>
      <c r="H566" s="24"/>
      <c r="J566" s="18" t="str">
        <f aca="false">IF(F566="","",F566*G566)</f>
        <v/>
      </c>
      <c r="K566" s="5" t="str">
        <f aca="false">IF(A566="","",IF(H566&lt;&gt;"",Assumptions!$D$5-H566,IF(C566="","",Assumptions!$D$5-(C566+Assumptions!$B$8))))</f>
        <v/>
      </c>
      <c r="L566" s="5" t="str">
        <f aca="false">IF(K566="","",IF(K566&lt;0,"Phase 1 (unliquidated)",IF(K566&lt;=Assumptions!$B$7,"Phase 1 (recently liquidated)",IF(K566&lt;=Assumptions!$B$6,"Protest required","Deadline passed — litigation only"))))</f>
        <v/>
      </c>
      <c r="M566" s="20" t="str">
        <f aca="false">IF(K566="","",IF(H566&lt;&gt;"",H566+Assumptions!$B$6,C566+Assumptions!$B$8+Assumptions!$B$6))</f>
        <v/>
      </c>
      <c r="N566" s="20" t="str">
        <f aca="false">IF(K566="","",IF(K566&lt;0,IF(H566&lt;&gt;"",H566+Assumptions!$B$7,C566+Assumptions!$B$8+Assumptions!$B$7),M566))</f>
        <v/>
      </c>
      <c r="O566" s="21" t="str">
        <f aca="false">IF(N566="","",N566-Assumptions!$D$5)</f>
        <v/>
      </c>
      <c r="P566" s="22"/>
      <c r="Q566" s="22"/>
      <c r="R566" s="18" t="str">
        <f aca="false">IF(Q566="","",Q566*IF(LEFT(L566,7)="Phase 1",Assumptions!$B$11,Assumptions!$B$12))</f>
        <v/>
      </c>
    </row>
    <row r="567" customFormat="false" ht="15" hidden="false" customHeight="true" outlineLevel="0" collapsed="false">
      <c r="C567" s="24"/>
      <c r="F567" s="22"/>
      <c r="G567" s="23"/>
      <c r="H567" s="24"/>
      <c r="J567" s="18" t="str">
        <f aca="false">IF(F567="","",F567*G567)</f>
        <v/>
      </c>
      <c r="K567" s="5" t="str">
        <f aca="false">IF(A567="","",IF(H567&lt;&gt;"",Assumptions!$D$5-H567,IF(C567="","",Assumptions!$D$5-(C567+Assumptions!$B$8))))</f>
        <v/>
      </c>
      <c r="L567" s="5" t="str">
        <f aca="false">IF(K567="","",IF(K567&lt;0,"Phase 1 (unliquidated)",IF(K567&lt;=Assumptions!$B$7,"Phase 1 (recently liquidated)",IF(K567&lt;=Assumptions!$B$6,"Protest required","Deadline passed — litigation only"))))</f>
        <v/>
      </c>
      <c r="M567" s="20" t="str">
        <f aca="false">IF(K567="","",IF(H567&lt;&gt;"",H567+Assumptions!$B$6,C567+Assumptions!$B$8+Assumptions!$B$6))</f>
        <v/>
      </c>
      <c r="N567" s="20" t="str">
        <f aca="false">IF(K567="","",IF(K567&lt;0,IF(H567&lt;&gt;"",H567+Assumptions!$B$7,C567+Assumptions!$B$8+Assumptions!$B$7),M567))</f>
        <v/>
      </c>
      <c r="O567" s="21" t="str">
        <f aca="false">IF(N567="","",N567-Assumptions!$D$5)</f>
        <v/>
      </c>
      <c r="P567" s="22"/>
      <c r="Q567" s="22"/>
      <c r="R567" s="18" t="str">
        <f aca="false">IF(Q567="","",Q567*IF(LEFT(L567,7)="Phase 1",Assumptions!$B$11,Assumptions!$B$12))</f>
        <v/>
      </c>
    </row>
    <row r="568" customFormat="false" ht="15" hidden="false" customHeight="true" outlineLevel="0" collapsed="false">
      <c r="C568" s="24"/>
      <c r="F568" s="22"/>
      <c r="G568" s="23"/>
      <c r="H568" s="24"/>
      <c r="J568" s="18" t="str">
        <f aca="false">IF(F568="","",F568*G568)</f>
        <v/>
      </c>
      <c r="K568" s="5" t="str">
        <f aca="false">IF(A568="","",IF(H568&lt;&gt;"",Assumptions!$D$5-H568,IF(C568="","",Assumptions!$D$5-(C568+Assumptions!$B$8))))</f>
        <v/>
      </c>
      <c r="L568" s="5" t="str">
        <f aca="false">IF(K568="","",IF(K568&lt;0,"Phase 1 (unliquidated)",IF(K568&lt;=Assumptions!$B$7,"Phase 1 (recently liquidated)",IF(K568&lt;=Assumptions!$B$6,"Protest required","Deadline passed — litigation only"))))</f>
        <v/>
      </c>
      <c r="M568" s="20" t="str">
        <f aca="false">IF(K568="","",IF(H568&lt;&gt;"",H568+Assumptions!$B$6,C568+Assumptions!$B$8+Assumptions!$B$6))</f>
        <v/>
      </c>
      <c r="N568" s="20" t="str">
        <f aca="false">IF(K568="","",IF(K568&lt;0,IF(H568&lt;&gt;"",H568+Assumptions!$B$7,C568+Assumptions!$B$8+Assumptions!$B$7),M568))</f>
        <v/>
      </c>
      <c r="O568" s="21" t="str">
        <f aca="false">IF(N568="","",N568-Assumptions!$D$5)</f>
        <v/>
      </c>
      <c r="P568" s="22"/>
      <c r="Q568" s="22"/>
      <c r="R568" s="18" t="str">
        <f aca="false">IF(Q568="","",Q568*IF(LEFT(L568,7)="Phase 1",Assumptions!$B$11,Assumptions!$B$12))</f>
        <v/>
      </c>
    </row>
    <row r="569" customFormat="false" ht="15" hidden="false" customHeight="true" outlineLevel="0" collapsed="false">
      <c r="C569" s="24"/>
      <c r="F569" s="22"/>
      <c r="G569" s="23"/>
      <c r="H569" s="24"/>
      <c r="J569" s="18" t="str">
        <f aca="false">IF(F569="","",F569*G569)</f>
        <v/>
      </c>
      <c r="K569" s="5" t="str">
        <f aca="false">IF(A569="","",IF(H569&lt;&gt;"",Assumptions!$D$5-H569,IF(C569="","",Assumptions!$D$5-(C569+Assumptions!$B$8))))</f>
        <v/>
      </c>
      <c r="L569" s="5" t="str">
        <f aca="false">IF(K569="","",IF(K569&lt;0,"Phase 1 (unliquidated)",IF(K569&lt;=Assumptions!$B$7,"Phase 1 (recently liquidated)",IF(K569&lt;=Assumptions!$B$6,"Protest required","Deadline passed — litigation only"))))</f>
        <v/>
      </c>
      <c r="M569" s="20" t="str">
        <f aca="false">IF(K569="","",IF(H569&lt;&gt;"",H569+Assumptions!$B$6,C569+Assumptions!$B$8+Assumptions!$B$6))</f>
        <v/>
      </c>
      <c r="N569" s="20" t="str">
        <f aca="false">IF(K569="","",IF(K569&lt;0,IF(H569&lt;&gt;"",H569+Assumptions!$B$7,C569+Assumptions!$B$8+Assumptions!$B$7),M569))</f>
        <v/>
      </c>
      <c r="O569" s="21" t="str">
        <f aca="false">IF(N569="","",N569-Assumptions!$D$5)</f>
        <v/>
      </c>
      <c r="P569" s="22"/>
      <c r="Q569" s="22"/>
      <c r="R569" s="18" t="str">
        <f aca="false">IF(Q569="","",Q569*IF(LEFT(L569,7)="Phase 1",Assumptions!$B$11,Assumptions!$B$12))</f>
        <v/>
      </c>
    </row>
    <row r="570" customFormat="false" ht="15" hidden="false" customHeight="true" outlineLevel="0" collapsed="false">
      <c r="C570" s="24"/>
      <c r="F570" s="22"/>
      <c r="G570" s="23"/>
      <c r="H570" s="24"/>
      <c r="J570" s="18" t="str">
        <f aca="false">IF(F570="","",F570*G570)</f>
        <v/>
      </c>
      <c r="K570" s="5" t="str">
        <f aca="false">IF(A570="","",IF(H570&lt;&gt;"",Assumptions!$D$5-H570,IF(C570="","",Assumptions!$D$5-(C570+Assumptions!$B$8))))</f>
        <v/>
      </c>
      <c r="L570" s="5" t="str">
        <f aca="false">IF(K570="","",IF(K570&lt;0,"Phase 1 (unliquidated)",IF(K570&lt;=Assumptions!$B$7,"Phase 1 (recently liquidated)",IF(K570&lt;=Assumptions!$B$6,"Protest required","Deadline passed — litigation only"))))</f>
        <v/>
      </c>
      <c r="M570" s="20" t="str">
        <f aca="false">IF(K570="","",IF(H570&lt;&gt;"",H570+Assumptions!$B$6,C570+Assumptions!$B$8+Assumptions!$B$6))</f>
        <v/>
      </c>
      <c r="N570" s="20" t="str">
        <f aca="false">IF(K570="","",IF(K570&lt;0,IF(H570&lt;&gt;"",H570+Assumptions!$B$7,C570+Assumptions!$B$8+Assumptions!$B$7),M570))</f>
        <v/>
      </c>
      <c r="O570" s="21" t="str">
        <f aca="false">IF(N570="","",N570-Assumptions!$D$5)</f>
        <v/>
      </c>
      <c r="P570" s="22"/>
      <c r="Q570" s="22"/>
      <c r="R570" s="18" t="str">
        <f aca="false">IF(Q570="","",Q570*IF(LEFT(L570,7)="Phase 1",Assumptions!$B$11,Assumptions!$B$12))</f>
        <v/>
      </c>
    </row>
    <row r="571" customFormat="false" ht="15" hidden="false" customHeight="true" outlineLevel="0" collapsed="false">
      <c r="C571" s="24"/>
      <c r="F571" s="22"/>
      <c r="G571" s="23"/>
      <c r="H571" s="24"/>
      <c r="J571" s="18" t="str">
        <f aca="false">IF(F571="","",F571*G571)</f>
        <v/>
      </c>
      <c r="K571" s="5" t="str">
        <f aca="false">IF(A571="","",IF(H571&lt;&gt;"",Assumptions!$D$5-H571,IF(C571="","",Assumptions!$D$5-(C571+Assumptions!$B$8))))</f>
        <v/>
      </c>
      <c r="L571" s="5" t="str">
        <f aca="false">IF(K571="","",IF(K571&lt;0,"Phase 1 (unliquidated)",IF(K571&lt;=Assumptions!$B$7,"Phase 1 (recently liquidated)",IF(K571&lt;=Assumptions!$B$6,"Protest required","Deadline passed — litigation only"))))</f>
        <v/>
      </c>
      <c r="M571" s="20" t="str">
        <f aca="false">IF(K571="","",IF(H571&lt;&gt;"",H571+Assumptions!$B$6,C571+Assumptions!$B$8+Assumptions!$B$6))</f>
        <v/>
      </c>
      <c r="N571" s="20" t="str">
        <f aca="false">IF(K571="","",IF(K571&lt;0,IF(H571&lt;&gt;"",H571+Assumptions!$B$7,C571+Assumptions!$B$8+Assumptions!$B$7),M571))</f>
        <v/>
      </c>
      <c r="O571" s="21" t="str">
        <f aca="false">IF(N571="","",N571-Assumptions!$D$5)</f>
        <v/>
      </c>
      <c r="P571" s="22"/>
      <c r="Q571" s="22"/>
      <c r="R571" s="18" t="str">
        <f aca="false">IF(Q571="","",Q571*IF(LEFT(L571,7)="Phase 1",Assumptions!$B$11,Assumptions!$B$12))</f>
        <v/>
      </c>
    </row>
    <row r="572" customFormat="false" ht="15" hidden="false" customHeight="true" outlineLevel="0" collapsed="false">
      <c r="C572" s="24"/>
      <c r="F572" s="22"/>
      <c r="G572" s="23"/>
      <c r="H572" s="24"/>
      <c r="J572" s="18" t="str">
        <f aca="false">IF(F572="","",F572*G572)</f>
        <v/>
      </c>
      <c r="K572" s="5" t="str">
        <f aca="false">IF(A572="","",IF(H572&lt;&gt;"",Assumptions!$D$5-H572,IF(C572="","",Assumptions!$D$5-(C572+Assumptions!$B$8))))</f>
        <v/>
      </c>
      <c r="L572" s="5" t="str">
        <f aca="false">IF(K572="","",IF(K572&lt;0,"Phase 1 (unliquidated)",IF(K572&lt;=Assumptions!$B$7,"Phase 1 (recently liquidated)",IF(K572&lt;=Assumptions!$B$6,"Protest required","Deadline passed — litigation only"))))</f>
        <v/>
      </c>
      <c r="M572" s="20" t="str">
        <f aca="false">IF(K572="","",IF(H572&lt;&gt;"",H572+Assumptions!$B$6,C572+Assumptions!$B$8+Assumptions!$B$6))</f>
        <v/>
      </c>
      <c r="N572" s="20" t="str">
        <f aca="false">IF(K572="","",IF(K572&lt;0,IF(H572&lt;&gt;"",H572+Assumptions!$B$7,C572+Assumptions!$B$8+Assumptions!$B$7),M572))</f>
        <v/>
      </c>
      <c r="O572" s="21" t="str">
        <f aca="false">IF(N572="","",N572-Assumptions!$D$5)</f>
        <v/>
      </c>
      <c r="P572" s="22"/>
      <c r="Q572" s="22"/>
      <c r="R572" s="18" t="str">
        <f aca="false">IF(Q572="","",Q572*IF(LEFT(L572,7)="Phase 1",Assumptions!$B$11,Assumptions!$B$12))</f>
        <v/>
      </c>
    </row>
    <row r="573" customFormat="false" ht="15" hidden="false" customHeight="true" outlineLevel="0" collapsed="false">
      <c r="C573" s="24"/>
      <c r="F573" s="22"/>
      <c r="G573" s="23"/>
      <c r="H573" s="24"/>
      <c r="J573" s="18" t="str">
        <f aca="false">IF(F573="","",F573*G573)</f>
        <v/>
      </c>
      <c r="K573" s="5" t="str">
        <f aca="false">IF(A573="","",IF(H573&lt;&gt;"",Assumptions!$D$5-H573,IF(C573="","",Assumptions!$D$5-(C573+Assumptions!$B$8))))</f>
        <v/>
      </c>
      <c r="L573" s="5" t="str">
        <f aca="false">IF(K573="","",IF(K573&lt;0,"Phase 1 (unliquidated)",IF(K573&lt;=Assumptions!$B$7,"Phase 1 (recently liquidated)",IF(K573&lt;=Assumptions!$B$6,"Protest required","Deadline passed — litigation only"))))</f>
        <v/>
      </c>
      <c r="M573" s="20" t="str">
        <f aca="false">IF(K573="","",IF(H573&lt;&gt;"",H573+Assumptions!$B$6,C573+Assumptions!$B$8+Assumptions!$B$6))</f>
        <v/>
      </c>
      <c r="N573" s="20" t="str">
        <f aca="false">IF(K573="","",IF(K573&lt;0,IF(H573&lt;&gt;"",H573+Assumptions!$B$7,C573+Assumptions!$B$8+Assumptions!$B$7),M573))</f>
        <v/>
      </c>
      <c r="O573" s="21" t="str">
        <f aca="false">IF(N573="","",N573-Assumptions!$D$5)</f>
        <v/>
      </c>
      <c r="P573" s="22"/>
      <c r="Q573" s="22"/>
      <c r="R573" s="18" t="str">
        <f aca="false">IF(Q573="","",Q573*IF(LEFT(L573,7)="Phase 1",Assumptions!$B$11,Assumptions!$B$12))</f>
        <v/>
      </c>
    </row>
    <row r="574" customFormat="false" ht="15" hidden="false" customHeight="true" outlineLevel="0" collapsed="false">
      <c r="C574" s="24"/>
      <c r="F574" s="22"/>
      <c r="G574" s="23"/>
      <c r="H574" s="24"/>
      <c r="J574" s="18" t="str">
        <f aca="false">IF(F574="","",F574*G574)</f>
        <v/>
      </c>
      <c r="K574" s="5" t="str">
        <f aca="false">IF(A574="","",IF(H574&lt;&gt;"",Assumptions!$D$5-H574,IF(C574="","",Assumptions!$D$5-(C574+Assumptions!$B$8))))</f>
        <v/>
      </c>
      <c r="L574" s="5" t="str">
        <f aca="false">IF(K574="","",IF(K574&lt;0,"Phase 1 (unliquidated)",IF(K574&lt;=Assumptions!$B$7,"Phase 1 (recently liquidated)",IF(K574&lt;=Assumptions!$B$6,"Protest required","Deadline passed — litigation only"))))</f>
        <v/>
      </c>
      <c r="M574" s="20" t="str">
        <f aca="false">IF(K574="","",IF(H574&lt;&gt;"",H574+Assumptions!$B$6,C574+Assumptions!$B$8+Assumptions!$B$6))</f>
        <v/>
      </c>
      <c r="N574" s="20" t="str">
        <f aca="false">IF(K574="","",IF(K574&lt;0,IF(H574&lt;&gt;"",H574+Assumptions!$B$7,C574+Assumptions!$B$8+Assumptions!$B$7),M574))</f>
        <v/>
      </c>
      <c r="O574" s="21" t="str">
        <f aca="false">IF(N574="","",N574-Assumptions!$D$5)</f>
        <v/>
      </c>
      <c r="P574" s="22"/>
      <c r="Q574" s="22"/>
      <c r="R574" s="18" t="str">
        <f aca="false">IF(Q574="","",Q574*IF(LEFT(L574,7)="Phase 1",Assumptions!$B$11,Assumptions!$B$12))</f>
        <v/>
      </c>
    </row>
    <row r="575" customFormat="false" ht="15" hidden="false" customHeight="true" outlineLevel="0" collapsed="false">
      <c r="C575" s="24"/>
      <c r="F575" s="22"/>
      <c r="G575" s="23"/>
      <c r="H575" s="24"/>
      <c r="J575" s="18" t="str">
        <f aca="false">IF(F575="","",F575*G575)</f>
        <v/>
      </c>
      <c r="K575" s="5" t="str">
        <f aca="false">IF(A575="","",IF(H575&lt;&gt;"",Assumptions!$D$5-H575,IF(C575="","",Assumptions!$D$5-(C575+Assumptions!$B$8))))</f>
        <v/>
      </c>
      <c r="L575" s="5" t="str">
        <f aca="false">IF(K575="","",IF(K575&lt;0,"Phase 1 (unliquidated)",IF(K575&lt;=Assumptions!$B$7,"Phase 1 (recently liquidated)",IF(K575&lt;=Assumptions!$B$6,"Protest required","Deadline passed — litigation only"))))</f>
        <v/>
      </c>
      <c r="M575" s="20" t="str">
        <f aca="false">IF(K575="","",IF(H575&lt;&gt;"",H575+Assumptions!$B$6,C575+Assumptions!$B$8+Assumptions!$B$6))</f>
        <v/>
      </c>
      <c r="N575" s="20" t="str">
        <f aca="false">IF(K575="","",IF(K575&lt;0,IF(H575&lt;&gt;"",H575+Assumptions!$B$7,C575+Assumptions!$B$8+Assumptions!$B$7),M575))</f>
        <v/>
      </c>
      <c r="O575" s="21" t="str">
        <f aca="false">IF(N575="","",N575-Assumptions!$D$5)</f>
        <v/>
      </c>
      <c r="P575" s="22"/>
      <c r="Q575" s="22"/>
      <c r="R575" s="18" t="str">
        <f aca="false">IF(Q575="","",Q575*IF(LEFT(L575,7)="Phase 1",Assumptions!$B$11,Assumptions!$B$12))</f>
        <v/>
      </c>
    </row>
    <row r="576" customFormat="false" ht="15" hidden="false" customHeight="true" outlineLevel="0" collapsed="false">
      <c r="C576" s="24"/>
      <c r="F576" s="22"/>
      <c r="G576" s="23"/>
      <c r="H576" s="24"/>
      <c r="J576" s="18" t="str">
        <f aca="false">IF(F576="","",F576*G576)</f>
        <v/>
      </c>
      <c r="K576" s="5" t="str">
        <f aca="false">IF(A576="","",IF(H576&lt;&gt;"",Assumptions!$D$5-H576,IF(C576="","",Assumptions!$D$5-(C576+Assumptions!$B$8))))</f>
        <v/>
      </c>
      <c r="L576" s="5" t="str">
        <f aca="false">IF(K576="","",IF(K576&lt;0,"Phase 1 (unliquidated)",IF(K576&lt;=Assumptions!$B$7,"Phase 1 (recently liquidated)",IF(K576&lt;=Assumptions!$B$6,"Protest required","Deadline passed — litigation only"))))</f>
        <v/>
      </c>
      <c r="M576" s="20" t="str">
        <f aca="false">IF(K576="","",IF(H576&lt;&gt;"",H576+Assumptions!$B$6,C576+Assumptions!$B$8+Assumptions!$B$6))</f>
        <v/>
      </c>
      <c r="N576" s="20" t="str">
        <f aca="false">IF(K576="","",IF(K576&lt;0,IF(H576&lt;&gt;"",H576+Assumptions!$B$7,C576+Assumptions!$B$8+Assumptions!$B$7),M576))</f>
        <v/>
      </c>
      <c r="O576" s="21" t="str">
        <f aca="false">IF(N576="","",N576-Assumptions!$D$5)</f>
        <v/>
      </c>
      <c r="P576" s="22"/>
      <c r="Q576" s="22"/>
      <c r="R576" s="18" t="str">
        <f aca="false">IF(Q576="","",Q576*IF(LEFT(L576,7)="Phase 1",Assumptions!$B$11,Assumptions!$B$12))</f>
        <v/>
      </c>
    </row>
    <row r="577" customFormat="false" ht="15" hidden="false" customHeight="true" outlineLevel="0" collapsed="false">
      <c r="C577" s="24"/>
      <c r="F577" s="22"/>
      <c r="G577" s="23"/>
      <c r="H577" s="24"/>
      <c r="J577" s="18" t="str">
        <f aca="false">IF(F577="","",F577*G577)</f>
        <v/>
      </c>
      <c r="K577" s="5" t="str">
        <f aca="false">IF(A577="","",IF(H577&lt;&gt;"",Assumptions!$D$5-H577,IF(C577="","",Assumptions!$D$5-(C577+Assumptions!$B$8))))</f>
        <v/>
      </c>
      <c r="L577" s="5" t="str">
        <f aca="false">IF(K577="","",IF(K577&lt;0,"Phase 1 (unliquidated)",IF(K577&lt;=Assumptions!$B$7,"Phase 1 (recently liquidated)",IF(K577&lt;=Assumptions!$B$6,"Protest required","Deadline passed — litigation only"))))</f>
        <v/>
      </c>
      <c r="M577" s="20" t="str">
        <f aca="false">IF(K577="","",IF(H577&lt;&gt;"",H577+Assumptions!$B$6,C577+Assumptions!$B$8+Assumptions!$B$6))</f>
        <v/>
      </c>
      <c r="N577" s="20" t="str">
        <f aca="false">IF(K577="","",IF(K577&lt;0,IF(H577&lt;&gt;"",H577+Assumptions!$B$7,C577+Assumptions!$B$8+Assumptions!$B$7),M577))</f>
        <v/>
      </c>
      <c r="O577" s="21" t="str">
        <f aca="false">IF(N577="","",N577-Assumptions!$D$5)</f>
        <v/>
      </c>
      <c r="P577" s="22"/>
      <c r="Q577" s="22"/>
      <c r="R577" s="18" t="str">
        <f aca="false">IF(Q577="","",Q577*IF(LEFT(L577,7)="Phase 1",Assumptions!$B$11,Assumptions!$B$12))</f>
        <v/>
      </c>
    </row>
    <row r="578" customFormat="false" ht="15" hidden="false" customHeight="true" outlineLevel="0" collapsed="false">
      <c r="C578" s="24"/>
      <c r="F578" s="22"/>
      <c r="G578" s="23"/>
      <c r="H578" s="24"/>
      <c r="J578" s="18" t="str">
        <f aca="false">IF(F578="","",F578*G578)</f>
        <v/>
      </c>
      <c r="K578" s="5" t="str">
        <f aca="false">IF(A578="","",IF(H578&lt;&gt;"",Assumptions!$D$5-H578,IF(C578="","",Assumptions!$D$5-(C578+Assumptions!$B$8))))</f>
        <v/>
      </c>
      <c r="L578" s="5" t="str">
        <f aca="false">IF(K578="","",IF(K578&lt;0,"Phase 1 (unliquidated)",IF(K578&lt;=Assumptions!$B$7,"Phase 1 (recently liquidated)",IF(K578&lt;=Assumptions!$B$6,"Protest required","Deadline passed — litigation only"))))</f>
        <v/>
      </c>
      <c r="M578" s="20" t="str">
        <f aca="false">IF(K578="","",IF(H578&lt;&gt;"",H578+Assumptions!$B$6,C578+Assumptions!$B$8+Assumptions!$B$6))</f>
        <v/>
      </c>
      <c r="N578" s="20" t="str">
        <f aca="false">IF(K578="","",IF(K578&lt;0,IF(H578&lt;&gt;"",H578+Assumptions!$B$7,C578+Assumptions!$B$8+Assumptions!$B$7),M578))</f>
        <v/>
      </c>
      <c r="O578" s="21" t="str">
        <f aca="false">IF(N578="","",N578-Assumptions!$D$5)</f>
        <v/>
      </c>
      <c r="P578" s="22"/>
      <c r="Q578" s="22"/>
      <c r="R578" s="18" t="str">
        <f aca="false">IF(Q578="","",Q578*IF(LEFT(L578,7)="Phase 1",Assumptions!$B$11,Assumptions!$B$12))</f>
        <v/>
      </c>
    </row>
    <row r="579" customFormat="false" ht="15" hidden="false" customHeight="true" outlineLevel="0" collapsed="false">
      <c r="C579" s="24"/>
      <c r="F579" s="22"/>
      <c r="G579" s="23"/>
      <c r="H579" s="24"/>
      <c r="J579" s="18" t="str">
        <f aca="false">IF(F579="","",F579*G579)</f>
        <v/>
      </c>
      <c r="K579" s="5" t="str">
        <f aca="false">IF(A579="","",IF(H579&lt;&gt;"",Assumptions!$D$5-H579,IF(C579="","",Assumptions!$D$5-(C579+Assumptions!$B$8))))</f>
        <v/>
      </c>
      <c r="L579" s="5" t="str">
        <f aca="false">IF(K579="","",IF(K579&lt;0,"Phase 1 (unliquidated)",IF(K579&lt;=Assumptions!$B$7,"Phase 1 (recently liquidated)",IF(K579&lt;=Assumptions!$B$6,"Protest required","Deadline passed — litigation only"))))</f>
        <v/>
      </c>
      <c r="M579" s="20" t="str">
        <f aca="false">IF(K579="","",IF(H579&lt;&gt;"",H579+Assumptions!$B$6,C579+Assumptions!$B$8+Assumptions!$B$6))</f>
        <v/>
      </c>
      <c r="N579" s="20" t="str">
        <f aca="false">IF(K579="","",IF(K579&lt;0,IF(H579&lt;&gt;"",H579+Assumptions!$B$7,C579+Assumptions!$B$8+Assumptions!$B$7),M579))</f>
        <v/>
      </c>
      <c r="O579" s="21" t="str">
        <f aca="false">IF(N579="","",N579-Assumptions!$D$5)</f>
        <v/>
      </c>
      <c r="P579" s="22"/>
      <c r="Q579" s="22"/>
      <c r="R579" s="18" t="str">
        <f aca="false">IF(Q579="","",Q579*IF(LEFT(L579,7)="Phase 1",Assumptions!$B$11,Assumptions!$B$12))</f>
        <v/>
      </c>
    </row>
    <row r="580" customFormat="false" ht="15" hidden="false" customHeight="true" outlineLevel="0" collapsed="false">
      <c r="C580" s="24"/>
      <c r="F580" s="22"/>
      <c r="G580" s="23"/>
      <c r="H580" s="24"/>
      <c r="J580" s="18" t="str">
        <f aca="false">IF(F580="","",F580*G580)</f>
        <v/>
      </c>
      <c r="K580" s="5" t="str">
        <f aca="false">IF(A580="","",IF(H580&lt;&gt;"",Assumptions!$D$5-H580,IF(C580="","",Assumptions!$D$5-(C580+Assumptions!$B$8))))</f>
        <v/>
      </c>
      <c r="L580" s="5" t="str">
        <f aca="false">IF(K580="","",IF(K580&lt;0,"Phase 1 (unliquidated)",IF(K580&lt;=Assumptions!$B$7,"Phase 1 (recently liquidated)",IF(K580&lt;=Assumptions!$B$6,"Protest required","Deadline passed — litigation only"))))</f>
        <v/>
      </c>
      <c r="M580" s="20" t="str">
        <f aca="false">IF(K580="","",IF(H580&lt;&gt;"",H580+Assumptions!$B$6,C580+Assumptions!$B$8+Assumptions!$B$6))</f>
        <v/>
      </c>
      <c r="N580" s="20" t="str">
        <f aca="false">IF(K580="","",IF(K580&lt;0,IF(H580&lt;&gt;"",H580+Assumptions!$B$7,C580+Assumptions!$B$8+Assumptions!$B$7),M580))</f>
        <v/>
      </c>
      <c r="O580" s="21" t="str">
        <f aca="false">IF(N580="","",N580-Assumptions!$D$5)</f>
        <v/>
      </c>
      <c r="P580" s="22"/>
      <c r="Q580" s="22"/>
      <c r="R580" s="18" t="str">
        <f aca="false">IF(Q580="","",Q580*IF(LEFT(L580,7)="Phase 1",Assumptions!$B$11,Assumptions!$B$12))</f>
        <v/>
      </c>
    </row>
    <row r="581" customFormat="false" ht="15" hidden="false" customHeight="true" outlineLevel="0" collapsed="false">
      <c r="C581" s="24"/>
      <c r="F581" s="22"/>
      <c r="G581" s="23"/>
      <c r="H581" s="24"/>
      <c r="J581" s="18" t="str">
        <f aca="false">IF(F581="","",F581*G581)</f>
        <v/>
      </c>
      <c r="K581" s="5" t="str">
        <f aca="false">IF(A581="","",IF(H581&lt;&gt;"",Assumptions!$D$5-H581,IF(C581="","",Assumptions!$D$5-(C581+Assumptions!$B$8))))</f>
        <v/>
      </c>
      <c r="L581" s="5" t="str">
        <f aca="false">IF(K581="","",IF(K581&lt;0,"Phase 1 (unliquidated)",IF(K581&lt;=Assumptions!$B$7,"Phase 1 (recently liquidated)",IF(K581&lt;=Assumptions!$B$6,"Protest required","Deadline passed — litigation only"))))</f>
        <v/>
      </c>
      <c r="M581" s="20" t="str">
        <f aca="false">IF(K581="","",IF(H581&lt;&gt;"",H581+Assumptions!$B$6,C581+Assumptions!$B$8+Assumptions!$B$6))</f>
        <v/>
      </c>
      <c r="N581" s="20" t="str">
        <f aca="false">IF(K581="","",IF(K581&lt;0,IF(H581&lt;&gt;"",H581+Assumptions!$B$7,C581+Assumptions!$B$8+Assumptions!$B$7),M581))</f>
        <v/>
      </c>
      <c r="O581" s="21" t="str">
        <f aca="false">IF(N581="","",N581-Assumptions!$D$5)</f>
        <v/>
      </c>
      <c r="P581" s="22"/>
      <c r="Q581" s="22"/>
      <c r="R581" s="18" t="str">
        <f aca="false">IF(Q581="","",Q581*IF(LEFT(L581,7)="Phase 1",Assumptions!$B$11,Assumptions!$B$12))</f>
        <v/>
      </c>
    </row>
    <row r="582" customFormat="false" ht="15" hidden="false" customHeight="true" outlineLevel="0" collapsed="false">
      <c r="C582" s="24"/>
      <c r="F582" s="22"/>
      <c r="G582" s="23"/>
      <c r="H582" s="24"/>
      <c r="J582" s="18" t="str">
        <f aca="false">IF(F582="","",F582*G582)</f>
        <v/>
      </c>
      <c r="K582" s="5" t="str">
        <f aca="false">IF(A582="","",IF(H582&lt;&gt;"",Assumptions!$D$5-H582,IF(C582="","",Assumptions!$D$5-(C582+Assumptions!$B$8))))</f>
        <v/>
      </c>
      <c r="L582" s="5" t="str">
        <f aca="false">IF(K582="","",IF(K582&lt;0,"Phase 1 (unliquidated)",IF(K582&lt;=Assumptions!$B$7,"Phase 1 (recently liquidated)",IF(K582&lt;=Assumptions!$B$6,"Protest required","Deadline passed — litigation only"))))</f>
        <v/>
      </c>
      <c r="M582" s="20" t="str">
        <f aca="false">IF(K582="","",IF(H582&lt;&gt;"",H582+Assumptions!$B$6,C582+Assumptions!$B$8+Assumptions!$B$6))</f>
        <v/>
      </c>
      <c r="N582" s="20" t="str">
        <f aca="false">IF(K582="","",IF(K582&lt;0,IF(H582&lt;&gt;"",H582+Assumptions!$B$7,C582+Assumptions!$B$8+Assumptions!$B$7),M582))</f>
        <v/>
      </c>
      <c r="O582" s="21" t="str">
        <f aca="false">IF(N582="","",N582-Assumptions!$D$5)</f>
        <v/>
      </c>
      <c r="P582" s="22"/>
      <c r="Q582" s="22"/>
      <c r="R582" s="18" t="str">
        <f aca="false">IF(Q582="","",Q582*IF(LEFT(L582,7)="Phase 1",Assumptions!$B$11,Assumptions!$B$12))</f>
        <v/>
      </c>
    </row>
    <row r="583" customFormat="false" ht="15" hidden="false" customHeight="true" outlineLevel="0" collapsed="false">
      <c r="C583" s="24"/>
      <c r="F583" s="22"/>
      <c r="G583" s="23"/>
      <c r="H583" s="24"/>
      <c r="J583" s="18" t="str">
        <f aca="false">IF(F583="","",F583*G583)</f>
        <v/>
      </c>
      <c r="K583" s="5" t="str">
        <f aca="false">IF(A583="","",IF(H583&lt;&gt;"",Assumptions!$D$5-H583,IF(C583="","",Assumptions!$D$5-(C583+Assumptions!$B$8))))</f>
        <v/>
      </c>
      <c r="L583" s="5" t="str">
        <f aca="false">IF(K583="","",IF(K583&lt;0,"Phase 1 (unliquidated)",IF(K583&lt;=Assumptions!$B$7,"Phase 1 (recently liquidated)",IF(K583&lt;=Assumptions!$B$6,"Protest required","Deadline passed — litigation only"))))</f>
        <v/>
      </c>
      <c r="M583" s="20" t="str">
        <f aca="false">IF(K583="","",IF(H583&lt;&gt;"",H583+Assumptions!$B$6,C583+Assumptions!$B$8+Assumptions!$B$6))</f>
        <v/>
      </c>
      <c r="N583" s="20" t="str">
        <f aca="false">IF(K583="","",IF(K583&lt;0,IF(H583&lt;&gt;"",H583+Assumptions!$B$7,C583+Assumptions!$B$8+Assumptions!$B$7),M583))</f>
        <v/>
      </c>
      <c r="O583" s="21" t="str">
        <f aca="false">IF(N583="","",N583-Assumptions!$D$5)</f>
        <v/>
      </c>
      <c r="P583" s="22"/>
      <c r="Q583" s="22"/>
      <c r="R583" s="18" t="str">
        <f aca="false">IF(Q583="","",Q583*IF(LEFT(L583,7)="Phase 1",Assumptions!$B$11,Assumptions!$B$12))</f>
        <v/>
      </c>
    </row>
    <row r="584" customFormat="false" ht="15" hidden="false" customHeight="true" outlineLevel="0" collapsed="false">
      <c r="C584" s="24"/>
      <c r="F584" s="22"/>
      <c r="G584" s="23"/>
      <c r="H584" s="24"/>
      <c r="J584" s="18" t="str">
        <f aca="false">IF(F584="","",F584*G584)</f>
        <v/>
      </c>
      <c r="K584" s="5" t="str">
        <f aca="false">IF(A584="","",IF(H584&lt;&gt;"",Assumptions!$D$5-H584,IF(C584="","",Assumptions!$D$5-(C584+Assumptions!$B$8))))</f>
        <v/>
      </c>
      <c r="L584" s="5" t="str">
        <f aca="false">IF(K584="","",IF(K584&lt;0,"Phase 1 (unliquidated)",IF(K584&lt;=Assumptions!$B$7,"Phase 1 (recently liquidated)",IF(K584&lt;=Assumptions!$B$6,"Protest required","Deadline passed — litigation only"))))</f>
        <v/>
      </c>
      <c r="M584" s="20" t="str">
        <f aca="false">IF(K584="","",IF(H584&lt;&gt;"",H584+Assumptions!$B$6,C584+Assumptions!$B$8+Assumptions!$B$6))</f>
        <v/>
      </c>
      <c r="N584" s="20" t="str">
        <f aca="false">IF(K584="","",IF(K584&lt;0,IF(H584&lt;&gt;"",H584+Assumptions!$B$7,C584+Assumptions!$B$8+Assumptions!$B$7),M584))</f>
        <v/>
      </c>
      <c r="O584" s="21" t="str">
        <f aca="false">IF(N584="","",N584-Assumptions!$D$5)</f>
        <v/>
      </c>
      <c r="P584" s="22"/>
      <c r="Q584" s="22"/>
      <c r="R584" s="18" t="str">
        <f aca="false">IF(Q584="","",Q584*IF(LEFT(L584,7)="Phase 1",Assumptions!$B$11,Assumptions!$B$12))</f>
        <v/>
      </c>
    </row>
    <row r="585" customFormat="false" ht="15" hidden="false" customHeight="true" outlineLevel="0" collapsed="false">
      <c r="C585" s="24"/>
      <c r="F585" s="22"/>
      <c r="G585" s="23"/>
      <c r="H585" s="24"/>
      <c r="J585" s="18" t="str">
        <f aca="false">IF(F585="","",F585*G585)</f>
        <v/>
      </c>
      <c r="K585" s="5" t="str">
        <f aca="false">IF(A585="","",IF(H585&lt;&gt;"",Assumptions!$D$5-H585,IF(C585="","",Assumptions!$D$5-(C585+Assumptions!$B$8))))</f>
        <v/>
      </c>
      <c r="L585" s="5" t="str">
        <f aca="false">IF(K585="","",IF(K585&lt;0,"Phase 1 (unliquidated)",IF(K585&lt;=Assumptions!$B$7,"Phase 1 (recently liquidated)",IF(K585&lt;=Assumptions!$B$6,"Protest required","Deadline passed — litigation only"))))</f>
        <v/>
      </c>
      <c r="M585" s="20" t="str">
        <f aca="false">IF(K585="","",IF(H585&lt;&gt;"",H585+Assumptions!$B$6,C585+Assumptions!$B$8+Assumptions!$B$6))</f>
        <v/>
      </c>
      <c r="N585" s="20" t="str">
        <f aca="false">IF(K585="","",IF(K585&lt;0,IF(H585&lt;&gt;"",H585+Assumptions!$B$7,C585+Assumptions!$B$8+Assumptions!$B$7),M585))</f>
        <v/>
      </c>
      <c r="O585" s="21" t="str">
        <f aca="false">IF(N585="","",N585-Assumptions!$D$5)</f>
        <v/>
      </c>
      <c r="P585" s="22"/>
      <c r="Q585" s="22"/>
      <c r="R585" s="18" t="str">
        <f aca="false">IF(Q585="","",Q585*IF(LEFT(L585,7)="Phase 1",Assumptions!$B$11,Assumptions!$B$12))</f>
        <v/>
      </c>
    </row>
    <row r="586" customFormat="false" ht="15" hidden="false" customHeight="true" outlineLevel="0" collapsed="false">
      <c r="C586" s="24"/>
      <c r="F586" s="22"/>
      <c r="G586" s="23"/>
      <c r="H586" s="24"/>
      <c r="J586" s="18" t="str">
        <f aca="false">IF(F586="","",F586*G586)</f>
        <v/>
      </c>
      <c r="K586" s="5" t="str">
        <f aca="false">IF(A586="","",IF(H586&lt;&gt;"",Assumptions!$D$5-H586,IF(C586="","",Assumptions!$D$5-(C586+Assumptions!$B$8))))</f>
        <v/>
      </c>
      <c r="L586" s="5" t="str">
        <f aca="false">IF(K586="","",IF(K586&lt;0,"Phase 1 (unliquidated)",IF(K586&lt;=Assumptions!$B$7,"Phase 1 (recently liquidated)",IF(K586&lt;=Assumptions!$B$6,"Protest required","Deadline passed — litigation only"))))</f>
        <v/>
      </c>
      <c r="M586" s="20" t="str">
        <f aca="false">IF(K586="","",IF(H586&lt;&gt;"",H586+Assumptions!$B$6,C586+Assumptions!$B$8+Assumptions!$B$6))</f>
        <v/>
      </c>
      <c r="N586" s="20" t="str">
        <f aca="false">IF(K586="","",IF(K586&lt;0,IF(H586&lt;&gt;"",H586+Assumptions!$B$7,C586+Assumptions!$B$8+Assumptions!$B$7),M586))</f>
        <v/>
      </c>
      <c r="O586" s="21" t="str">
        <f aca="false">IF(N586="","",N586-Assumptions!$D$5)</f>
        <v/>
      </c>
      <c r="P586" s="22"/>
      <c r="Q586" s="22"/>
      <c r="R586" s="18" t="str">
        <f aca="false">IF(Q586="","",Q586*IF(LEFT(L586,7)="Phase 1",Assumptions!$B$11,Assumptions!$B$12))</f>
        <v/>
      </c>
    </row>
    <row r="587" customFormat="false" ht="15" hidden="false" customHeight="true" outlineLevel="0" collapsed="false">
      <c r="C587" s="24"/>
      <c r="F587" s="22"/>
      <c r="G587" s="23"/>
      <c r="H587" s="24"/>
      <c r="J587" s="18" t="str">
        <f aca="false">IF(F587="","",F587*G587)</f>
        <v/>
      </c>
      <c r="K587" s="5" t="str">
        <f aca="false">IF(A587="","",IF(H587&lt;&gt;"",Assumptions!$D$5-H587,IF(C587="","",Assumptions!$D$5-(C587+Assumptions!$B$8))))</f>
        <v/>
      </c>
      <c r="L587" s="5" t="str">
        <f aca="false">IF(K587="","",IF(K587&lt;0,"Phase 1 (unliquidated)",IF(K587&lt;=Assumptions!$B$7,"Phase 1 (recently liquidated)",IF(K587&lt;=Assumptions!$B$6,"Protest required","Deadline passed — litigation only"))))</f>
        <v/>
      </c>
      <c r="M587" s="20" t="str">
        <f aca="false">IF(K587="","",IF(H587&lt;&gt;"",H587+Assumptions!$B$6,C587+Assumptions!$B$8+Assumptions!$B$6))</f>
        <v/>
      </c>
      <c r="N587" s="20" t="str">
        <f aca="false">IF(K587="","",IF(K587&lt;0,IF(H587&lt;&gt;"",H587+Assumptions!$B$7,C587+Assumptions!$B$8+Assumptions!$B$7),M587))</f>
        <v/>
      </c>
      <c r="O587" s="21" t="str">
        <f aca="false">IF(N587="","",N587-Assumptions!$D$5)</f>
        <v/>
      </c>
      <c r="P587" s="22"/>
      <c r="Q587" s="22"/>
      <c r="R587" s="18" t="str">
        <f aca="false">IF(Q587="","",Q587*IF(LEFT(L587,7)="Phase 1",Assumptions!$B$11,Assumptions!$B$12))</f>
        <v/>
      </c>
    </row>
    <row r="588" customFormat="false" ht="15" hidden="false" customHeight="true" outlineLevel="0" collapsed="false">
      <c r="C588" s="24"/>
      <c r="F588" s="22"/>
      <c r="G588" s="23"/>
      <c r="H588" s="24"/>
      <c r="J588" s="18" t="str">
        <f aca="false">IF(F588="","",F588*G588)</f>
        <v/>
      </c>
      <c r="K588" s="5" t="str">
        <f aca="false">IF(A588="","",IF(H588&lt;&gt;"",Assumptions!$D$5-H588,IF(C588="","",Assumptions!$D$5-(C588+Assumptions!$B$8))))</f>
        <v/>
      </c>
      <c r="L588" s="5" t="str">
        <f aca="false">IF(K588="","",IF(K588&lt;0,"Phase 1 (unliquidated)",IF(K588&lt;=Assumptions!$B$7,"Phase 1 (recently liquidated)",IF(K588&lt;=Assumptions!$B$6,"Protest required","Deadline passed — litigation only"))))</f>
        <v/>
      </c>
      <c r="M588" s="20" t="str">
        <f aca="false">IF(K588="","",IF(H588&lt;&gt;"",H588+Assumptions!$B$6,C588+Assumptions!$B$8+Assumptions!$B$6))</f>
        <v/>
      </c>
      <c r="N588" s="20" t="str">
        <f aca="false">IF(K588="","",IF(K588&lt;0,IF(H588&lt;&gt;"",H588+Assumptions!$B$7,C588+Assumptions!$B$8+Assumptions!$B$7),M588))</f>
        <v/>
      </c>
      <c r="O588" s="21" t="str">
        <f aca="false">IF(N588="","",N588-Assumptions!$D$5)</f>
        <v/>
      </c>
      <c r="P588" s="22"/>
      <c r="Q588" s="22"/>
      <c r="R588" s="18" t="str">
        <f aca="false">IF(Q588="","",Q588*IF(LEFT(L588,7)="Phase 1",Assumptions!$B$11,Assumptions!$B$12))</f>
        <v/>
      </c>
    </row>
    <row r="589" customFormat="false" ht="15" hidden="false" customHeight="true" outlineLevel="0" collapsed="false">
      <c r="C589" s="24"/>
      <c r="F589" s="22"/>
      <c r="G589" s="23"/>
      <c r="H589" s="24"/>
      <c r="J589" s="18" t="str">
        <f aca="false">IF(F589="","",F589*G589)</f>
        <v/>
      </c>
      <c r="K589" s="5" t="str">
        <f aca="false">IF(A589="","",IF(H589&lt;&gt;"",Assumptions!$D$5-H589,IF(C589="","",Assumptions!$D$5-(C589+Assumptions!$B$8))))</f>
        <v/>
      </c>
      <c r="L589" s="5" t="str">
        <f aca="false">IF(K589="","",IF(K589&lt;0,"Phase 1 (unliquidated)",IF(K589&lt;=Assumptions!$B$7,"Phase 1 (recently liquidated)",IF(K589&lt;=Assumptions!$B$6,"Protest required","Deadline passed — litigation only"))))</f>
        <v/>
      </c>
      <c r="M589" s="20" t="str">
        <f aca="false">IF(K589="","",IF(H589&lt;&gt;"",H589+Assumptions!$B$6,C589+Assumptions!$B$8+Assumptions!$B$6))</f>
        <v/>
      </c>
      <c r="N589" s="20" t="str">
        <f aca="false">IF(K589="","",IF(K589&lt;0,IF(H589&lt;&gt;"",H589+Assumptions!$B$7,C589+Assumptions!$B$8+Assumptions!$B$7),M589))</f>
        <v/>
      </c>
      <c r="O589" s="21" t="str">
        <f aca="false">IF(N589="","",N589-Assumptions!$D$5)</f>
        <v/>
      </c>
      <c r="P589" s="22"/>
      <c r="Q589" s="22"/>
      <c r="R589" s="18" t="str">
        <f aca="false">IF(Q589="","",Q589*IF(LEFT(L589,7)="Phase 1",Assumptions!$B$11,Assumptions!$B$12))</f>
        <v/>
      </c>
    </row>
    <row r="590" customFormat="false" ht="15" hidden="false" customHeight="true" outlineLevel="0" collapsed="false">
      <c r="C590" s="24"/>
      <c r="F590" s="22"/>
      <c r="G590" s="23"/>
      <c r="H590" s="24"/>
      <c r="J590" s="18" t="str">
        <f aca="false">IF(F590="","",F590*G590)</f>
        <v/>
      </c>
      <c r="K590" s="5" t="str">
        <f aca="false">IF(A590="","",IF(H590&lt;&gt;"",Assumptions!$D$5-H590,IF(C590="","",Assumptions!$D$5-(C590+Assumptions!$B$8))))</f>
        <v/>
      </c>
      <c r="L590" s="5" t="str">
        <f aca="false">IF(K590="","",IF(K590&lt;0,"Phase 1 (unliquidated)",IF(K590&lt;=Assumptions!$B$7,"Phase 1 (recently liquidated)",IF(K590&lt;=Assumptions!$B$6,"Protest required","Deadline passed — litigation only"))))</f>
        <v/>
      </c>
      <c r="M590" s="20" t="str">
        <f aca="false">IF(K590="","",IF(H590&lt;&gt;"",H590+Assumptions!$B$6,C590+Assumptions!$B$8+Assumptions!$B$6))</f>
        <v/>
      </c>
      <c r="N590" s="20" t="str">
        <f aca="false">IF(K590="","",IF(K590&lt;0,IF(H590&lt;&gt;"",H590+Assumptions!$B$7,C590+Assumptions!$B$8+Assumptions!$B$7),M590))</f>
        <v/>
      </c>
      <c r="O590" s="21" t="str">
        <f aca="false">IF(N590="","",N590-Assumptions!$D$5)</f>
        <v/>
      </c>
      <c r="P590" s="22"/>
      <c r="Q590" s="22"/>
      <c r="R590" s="18" t="str">
        <f aca="false">IF(Q590="","",Q590*IF(LEFT(L590,7)="Phase 1",Assumptions!$B$11,Assumptions!$B$12))</f>
        <v/>
      </c>
    </row>
    <row r="591" customFormat="false" ht="15" hidden="false" customHeight="true" outlineLevel="0" collapsed="false">
      <c r="C591" s="24"/>
      <c r="F591" s="22"/>
      <c r="G591" s="23"/>
      <c r="H591" s="24"/>
      <c r="J591" s="18" t="str">
        <f aca="false">IF(F591="","",F591*G591)</f>
        <v/>
      </c>
      <c r="K591" s="5" t="str">
        <f aca="false">IF(A591="","",IF(H591&lt;&gt;"",Assumptions!$D$5-H591,IF(C591="","",Assumptions!$D$5-(C591+Assumptions!$B$8))))</f>
        <v/>
      </c>
      <c r="L591" s="5" t="str">
        <f aca="false">IF(K591="","",IF(K591&lt;0,"Phase 1 (unliquidated)",IF(K591&lt;=Assumptions!$B$7,"Phase 1 (recently liquidated)",IF(K591&lt;=Assumptions!$B$6,"Protest required","Deadline passed — litigation only"))))</f>
        <v/>
      </c>
      <c r="M591" s="20" t="str">
        <f aca="false">IF(K591="","",IF(H591&lt;&gt;"",H591+Assumptions!$B$6,C591+Assumptions!$B$8+Assumptions!$B$6))</f>
        <v/>
      </c>
      <c r="N591" s="20" t="str">
        <f aca="false">IF(K591="","",IF(K591&lt;0,IF(H591&lt;&gt;"",H591+Assumptions!$B$7,C591+Assumptions!$B$8+Assumptions!$B$7),M591))</f>
        <v/>
      </c>
      <c r="O591" s="21" t="str">
        <f aca="false">IF(N591="","",N591-Assumptions!$D$5)</f>
        <v/>
      </c>
      <c r="P591" s="22"/>
      <c r="Q591" s="22"/>
      <c r="R591" s="18" t="str">
        <f aca="false">IF(Q591="","",Q591*IF(LEFT(L591,7)="Phase 1",Assumptions!$B$11,Assumptions!$B$12))</f>
        <v/>
      </c>
    </row>
    <row r="592" customFormat="false" ht="15" hidden="false" customHeight="true" outlineLevel="0" collapsed="false">
      <c r="C592" s="24"/>
      <c r="F592" s="22"/>
      <c r="G592" s="23"/>
      <c r="H592" s="24"/>
      <c r="J592" s="18" t="str">
        <f aca="false">IF(F592="","",F592*G592)</f>
        <v/>
      </c>
      <c r="K592" s="5" t="str">
        <f aca="false">IF(A592="","",IF(H592&lt;&gt;"",Assumptions!$D$5-H592,IF(C592="","",Assumptions!$D$5-(C592+Assumptions!$B$8))))</f>
        <v/>
      </c>
      <c r="L592" s="5" t="str">
        <f aca="false">IF(K592="","",IF(K592&lt;0,"Phase 1 (unliquidated)",IF(K592&lt;=Assumptions!$B$7,"Phase 1 (recently liquidated)",IF(K592&lt;=Assumptions!$B$6,"Protest required","Deadline passed — litigation only"))))</f>
        <v/>
      </c>
      <c r="M592" s="20" t="str">
        <f aca="false">IF(K592="","",IF(H592&lt;&gt;"",H592+Assumptions!$B$6,C592+Assumptions!$B$8+Assumptions!$B$6))</f>
        <v/>
      </c>
      <c r="N592" s="20" t="str">
        <f aca="false">IF(K592="","",IF(K592&lt;0,IF(H592&lt;&gt;"",H592+Assumptions!$B$7,C592+Assumptions!$B$8+Assumptions!$B$7),M592))</f>
        <v/>
      </c>
      <c r="O592" s="21" t="str">
        <f aca="false">IF(N592="","",N592-Assumptions!$D$5)</f>
        <v/>
      </c>
      <c r="P592" s="22"/>
      <c r="Q592" s="22"/>
      <c r="R592" s="18" t="str">
        <f aca="false">IF(Q592="","",Q592*IF(LEFT(L592,7)="Phase 1",Assumptions!$B$11,Assumptions!$B$12))</f>
        <v/>
      </c>
    </row>
    <row r="593" customFormat="false" ht="15" hidden="false" customHeight="true" outlineLevel="0" collapsed="false">
      <c r="C593" s="24"/>
      <c r="F593" s="22"/>
      <c r="G593" s="23"/>
      <c r="H593" s="24"/>
      <c r="J593" s="18" t="str">
        <f aca="false">IF(F593="","",F593*G593)</f>
        <v/>
      </c>
      <c r="K593" s="5" t="str">
        <f aca="false">IF(A593="","",IF(H593&lt;&gt;"",Assumptions!$D$5-H593,IF(C593="","",Assumptions!$D$5-(C593+Assumptions!$B$8))))</f>
        <v/>
      </c>
      <c r="L593" s="5" t="str">
        <f aca="false">IF(K593="","",IF(K593&lt;0,"Phase 1 (unliquidated)",IF(K593&lt;=Assumptions!$B$7,"Phase 1 (recently liquidated)",IF(K593&lt;=Assumptions!$B$6,"Protest required","Deadline passed — litigation only"))))</f>
        <v/>
      </c>
      <c r="M593" s="20" t="str">
        <f aca="false">IF(K593="","",IF(H593&lt;&gt;"",H593+Assumptions!$B$6,C593+Assumptions!$B$8+Assumptions!$B$6))</f>
        <v/>
      </c>
      <c r="N593" s="20" t="str">
        <f aca="false">IF(K593="","",IF(K593&lt;0,IF(H593&lt;&gt;"",H593+Assumptions!$B$7,C593+Assumptions!$B$8+Assumptions!$B$7),M593))</f>
        <v/>
      </c>
      <c r="O593" s="21" t="str">
        <f aca="false">IF(N593="","",N593-Assumptions!$D$5)</f>
        <v/>
      </c>
      <c r="P593" s="22"/>
      <c r="Q593" s="22"/>
      <c r="R593" s="18" t="str">
        <f aca="false">IF(Q593="","",Q593*IF(LEFT(L593,7)="Phase 1",Assumptions!$B$11,Assumptions!$B$12))</f>
        <v/>
      </c>
    </row>
    <row r="594" customFormat="false" ht="15" hidden="false" customHeight="true" outlineLevel="0" collapsed="false">
      <c r="C594" s="24"/>
      <c r="F594" s="22"/>
      <c r="G594" s="23"/>
      <c r="H594" s="24"/>
      <c r="J594" s="18" t="str">
        <f aca="false">IF(F594="","",F594*G594)</f>
        <v/>
      </c>
      <c r="K594" s="5" t="str">
        <f aca="false">IF(A594="","",IF(H594&lt;&gt;"",Assumptions!$D$5-H594,IF(C594="","",Assumptions!$D$5-(C594+Assumptions!$B$8))))</f>
        <v/>
      </c>
      <c r="L594" s="5" t="str">
        <f aca="false">IF(K594="","",IF(K594&lt;0,"Phase 1 (unliquidated)",IF(K594&lt;=Assumptions!$B$7,"Phase 1 (recently liquidated)",IF(K594&lt;=Assumptions!$B$6,"Protest required","Deadline passed — litigation only"))))</f>
        <v/>
      </c>
      <c r="M594" s="20" t="str">
        <f aca="false">IF(K594="","",IF(H594&lt;&gt;"",H594+Assumptions!$B$6,C594+Assumptions!$B$8+Assumptions!$B$6))</f>
        <v/>
      </c>
      <c r="N594" s="20" t="str">
        <f aca="false">IF(K594="","",IF(K594&lt;0,IF(H594&lt;&gt;"",H594+Assumptions!$B$7,C594+Assumptions!$B$8+Assumptions!$B$7),M594))</f>
        <v/>
      </c>
      <c r="O594" s="21" t="str">
        <f aca="false">IF(N594="","",N594-Assumptions!$D$5)</f>
        <v/>
      </c>
      <c r="P594" s="22"/>
      <c r="Q594" s="22"/>
      <c r="R594" s="18" t="str">
        <f aca="false">IF(Q594="","",Q594*IF(LEFT(L594,7)="Phase 1",Assumptions!$B$11,Assumptions!$B$12))</f>
        <v/>
      </c>
    </row>
    <row r="595" customFormat="false" ht="15" hidden="false" customHeight="true" outlineLevel="0" collapsed="false">
      <c r="C595" s="24"/>
      <c r="F595" s="22"/>
      <c r="G595" s="23"/>
      <c r="H595" s="24"/>
      <c r="J595" s="18" t="str">
        <f aca="false">IF(F595="","",F595*G595)</f>
        <v/>
      </c>
      <c r="K595" s="5" t="str">
        <f aca="false">IF(A595="","",IF(H595&lt;&gt;"",Assumptions!$D$5-H595,IF(C595="","",Assumptions!$D$5-(C595+Assumptions!$B$8))))</f>
        <v/>
      </c>
      <c r="L595" s="5" t="str">
        <f aca="false">IF(K595="","",IF(K595&lt;0,"Phase 1 (unliquidated)",IF(K595&lt;=Assumptions!$B$7,"Phase 1 (recently liquidated)",IF(K595&lt;=Assumptions!$B$6,"Protest required","Deadline passed — litigation only"))))</f>
        <v/>
      </c>
      <c r="M595" s="20" t="str">
        <f aca="false">IF(K595="","",IF(H595&lt;&gt;"",H595+Assumptions!$B$6,C595+Assumptions!$B$8+Assumptions!$B$6))</f>
        <v/>
      </c>
      <c r="N595" s="20" t="str">
        <f aca="false">IF(K595="","",IF(K595&lt;0,IF(H595&lt;&gt;"",H595+Assumptions!$B$7,C595+Assumptions!$B$8+Assumptions!$B$7),M595))</f>
        <v/>
      </c>
      <c r="O595" s="21" t="str">
        <f aca="false">IF(N595="","",N595-Assumptions!$D$5)</f>
        <v/>
      </c>
      <c r="P595" s="22"/>
      <c r="Q595" s="22"/>
      <c r="R595" s="18" t="str">
        <f aca="false">IF(Q595="","",Q595*IF(LEFT(L595,7)="Phase 1",Assumptions!$B$11,Assumptions!$B$12))</f>
        <v/>
      </c>
    </row>
    <row r="596" customFormat="false" ht="15" hidden="false" customHeight="true" outlineLevel="0" collapsed="false">
      <c r="C596" s="24"/>
      <c r="F596" s="22"/>
      <c r="G596" s="23"/>
      <c r="H596" s="24"/>
      <c r="J596" s="18" t="str">
        <f aca="false">IF(F596="","",F596*G596)</f>
        <v/>
      </c>
      <c r="K596" s="5" t="str">
        <f aca="false">IF(A596="","",IF(H596&lt;&gt;"",Assumptions!$D$5-H596,IF(C596="","",Assumptions!$D$5-(C596+Assumptions!$B$8))))</f>
        <v/>
      </c>
      <c r="L596" s="5" t="str">
        <f aca="false">IF(K596="","",IF(K596&lt;0,"Phase 1 (unliquidated)",IF(K596&lt;=Assumptions!$B$7,"Phase 1 (recently liquidated)",IF(K596&lt;=Assumptions!$B$6,"Protest required","Deadline passed — litigation only"))))</f>
        <v/>
      </c>
      <c r="M596" s="20" t="str">
        <f aca="false">IF(K596="","",IF(H596&lt;&gt;"",H596+Assumptions!$B$6,C596+Assumptions!$B$8+Assumptions!$B$6))</f>
        <v/>
      </c>
      <c r="N596" s="20" t="str">
        <f aca="false">IF(K596="","",IF(K596&lt;0,IF(H596&lt;&gt;"",H596+Assumptions!$B$7,C596+Assumptions!$B$8+Assumptions!$B$7),M596))</f>
        <v/>
      </c>
      <c r="O596" s="21" t="str">
        <f aca="false">IF(N596="","",N596-Assumptions!$D$5)</f>
        <v/>
      </c>
      <c r="P596" s="22"/>
      <c r="Q596" s="22"/>
      <c r="R596" s="18" t="str">
        <f aca="false">IF(Q596="","",Q596*IF(LEFT(L596,7)="Phase 1",Assumptions!$B$11,Assumptions!$B$12))</f>
        <v/>
      </c>
    </row>
    <row r="597" customFormat="false" ht="15" hidden="false" customHeight="true" outlineLevel="0" collapsed="false">
      <c r="C597" s="24"/>
      <c r="F597" s="22"/>
      <c r="G597" s="23"/>
      <c r="H597" s="24"/>
      <c r="J597" s="18" t="str">
        <f aca="false">IF(F597="","",F597*G597)</f>
        <v/>
      </c>
      <c r="K597" s="5" t="str">
        <f aca="false">IF(A597="","",IF(H597&lt;&gt;"",Assumptions!$D$5-H597,IF(C597="","",Assumptions!$D$5-(C597+Assumptions!$B$8))))</f>
        <v/>
      </c>
      <c r="L597" s="5" t="str">
        <f aca="false">IF(K597="","",IF(K597&lt;0,"Phase 1 (unliquidated)",IF(K597&lt;=Assumptions!$B$7,"Phase 1 (recently liquidated)",IF(K597&lt;=Assumptions!$B$6,"Protest required","Deadline passed — litigation only"))))</f>
        <v/>
      </c>
      <c r="M597" s="20" t="str">
        <f aca="false">IF(K597="","",IF(H597&lt;&gt;"",H597+Assumptions!$B$6,C597+Assumptions!$B$8+Assumptions!$B$6))</f>
        <v/>
      </c>
      <c r="N597" s="20" t="str">
        <f aca="false">IF(K597="","",IF(K597&lt;0,IF(H597&lt;&gt;"",H597+Assumptions!$B$7,C597+Assumptions!$B$8+Assumptions!$B$7),M597))</f>
        <v/>
      </c>
      <c r="O597" s="21" t="str">
        <f aca="false">IF(N597="","",N597-Assumptions!$D$5)</f>
        <v/>
      </c>
      <c r="P597" s="22"/>
      <c r="Q597" s="22"/>
      <c r="R597" s="18" t="str">
        <f aca="false">IF(Q597="","",Q597*IF(LEFT(L597,7)="Phase 1",Assumptions!$B$11,Assumptions!$B$12))</f>
        <v/>
      </c>
    </row>
    <row r="598" customFormat="false" ht="15" hidden="false" customHeight="true" outlineLevel="0" collapsed="false">
      <c r="C598" s="24"/>
      <c r="F598" s="22"/>
      <c r="G598" s="23"/>
      <c r="H598" s="24"/>
      <c r="J598" s="18" t="str">
        <f aca="false">IF(F598="","",F598*G598)</f>
        <v/>
      </c>
      <c r="K598" s="5" t="str">
        <f aca="false">IF(A598="","",IF(H598&lt;&gt;"",Assumptions!$D$5-H598,IF(C598="","",Assumptions!$D$5-(C598+Assumptions!$B$8))))</f>
        <v/>
      </c>
      <c r="L598" s="5" t="str">
        <f aca="false">IF(K598="","",IF(K598&lt;0,"Phase 1 (unliquidated)",IF(K598&lt;=Assumptions!$B$7,"Phase 1 (recently liquidated)",IF(K598&lt;=Assumptions!$B$6,"Protest required","Deadline passed — litigation only"))))</f>
        <v/>
      </c>
      <c r="M598" s="20" t="str">
        <f aca="false">IF(K598="","",IF(H598&lt;&gt;"",H598+Assumptions!$B$6,C598+Assumptions!$B$8+Assumptions!$B$6))</f>
        <v/>
      </c>
      <c r="N598" s="20" t="str">
        <f aca="false">IF(K598="","",IF(K598&lt;0,IF(H598&lt;&gt;"",H598+Assumptions!$B$7,C598+Assumptions!$B$8+Assumptions!$B$7),M598))</f>
        <v/>
      </c>
      <c r="O598" s="21" t="str">
        <f aca="false">IF(N598="","",N598-Assumptions!$D$5)</f>
        <v/>
      </c>
      <c r="P598" s="22"/>
      <c r="Q598" s="22"/>
      <c r="R598" s="18" t="str">
        <f aca="false">IF(Q598="","",Q598*IF(LEFT(L598,7)="Phase 1",Assumptions!$B$11,Assumptions!$B$12))</f>
        <v/>
      </c>
    </row>
    <row r="599" customFormat="false" ht="15" hidden="false" customHeight="true" outlineLevel="0" collapsed="false">
      <c r="C599" s="24"/>
      <c r="F599" s="22"/>
      <c r="G599" s="23"/>
      <c r="H599" s="24"/>
      <c r="J599" s="18" t="str">
        <f aca="false">IF(F599="","",F599*G599)</f>
        <v/>
      </c>
      <c r="K599" s="5" t="str">
        <f aca="false">IF(A599="","",IF(H599&lt;&gt;"",Assumptions!$D$5-H599,IF(C599="","",Assumptions!$D$5-(C599+Assumptions!$B$8))))</f>
        <v/>
      </c>
      <c r="L599" s="5" t="str">
        <f aca="false">IF(K599="","",IF(K599&lt;0,"Phase 1 (unliquidated)",IF(K599&lt;=Assumptions!$B$7,"Phase 1 (recently liquidated)",IF(K599&lt;=Assumptions!$B$6,"Protest required","Deadline passed — litigation only"))))</f>
        <v/>
      </c>
      <c r="M599" s="20" t="str">
        <f aca="false">IF(K599="","",IF(H599&lt;&gt;"",H599+Assumptions!$B$6,C599+Assumptions!$B$8+Assumptions!$B$6))</f>
        <v/>
      </c>
      <c r="N599" s="20" t="str">
        <f aca="false">IF(K599="","",IF(K599&lt;0,IF(H599&lt;&gt;"",H599+Assumptions!$B$7,C599+Assumptions!$B$8+Assumptions!$B$7),M599))</f>
        <v/>
      </c>
      <c r="O599" s="21" t="str">
        <f aca="false">IF(N599="","",N599-Assumptions!$D$5)</f>
        <v/>
      </c>
      <c r="P599" s="22"/>
      <c r="Q599" s="22"/>
      <c r="R599" s="18" t="str">
        <f aca="false">IF(Q599="","",Q599*IF(LEFT(L599,7)="Phase 1",Assumptions!$B$11,Assumptions!$B$12))</f>
        <v/>
      </c>
    </row>
    <row r="600" customFormat="false" ht="15" hidden="false" customHeight="true" outlineLevel="0" collapsed="false">
      <c r="C600" s="24"/>
      <c r="F600" s="22"/>
      <c r="G600" s="23"/>
      <c r="H600" s="24"/>
      <c r="J600" s="18" t="str">
        <f aca="false">IF(F600="","",F600*G600)</f>
        <v/>
      </c>
      <c r="K600" s="5" t="str">
        <f aca="false">IF(A600="","",IF(H600&lt;&gt;"",Assumptions!$D$5-H600,IF(C600="","",Assumptions!$D$5-(C600+Assumptions!$B$8))))</f>
        <v/>
      </c>
      <c r="L600" s="5" t="str">
        <f aca="false">IF(K600="","",IF(K600&lt;0,"Phase 1 (unliquidated)",IF(K600&lt;=Assumptions!$B$7,"Phase 1 (recently liquidated)",IF(K600&lt;=Assumptions!$B$6,"Protest required","Deadline passed — litigation only"))))</f>
        <v/>
      </c>
      <c r="M600" s="20" t="str">
        <f aca="false">IF(K600="","",IF(H600&lt;&gt;"",H600+Assumptions!$B$6,C600+Assumptions!$B$8+Assumptions!$B$6))</f>
        <v/>
      </c>
      <c r="N600" s="20" t="str">
        <f aca="false">IF(K600="","",IF(K600&lt;0,IF(H600&lt;&gt;"",H600+Assumptions!$B$7,C600+Assumptions!$B$8+Assumptions!$B$7),M600))</f>
        <v/>
      </c>
      <c r="O600" s="21" t="str">
        <f aca="false">IF(N600="","",N600-Assumptions!$D$5)</f>
        <v/>
      </c>
      <c r="P600" s="22"/>
      <c r="Q600" s="22"/>
      <c r="R600" s="18" t="str">
        <f aca="false">IF(Q600="","",Q600*IF(LEFT(L600,7)="Phase 1",Assumptions!$B$11,Assumptions!$B$12))</f>
        <v/>
      </c>
    </row>
    <row r="601" customFormat="false" ht="15" hidden="false" customHeight="true" outlineLevel="0" collapsed="false">
      <c r="C601" s="24"/>
      <c r="F601" s="22"/>
      <c r="G601" s="23"/>
      <c r="H601" s="24"/>
      <c r="J601" s="18" t="str">
        <f aca="false">IF(F601="","",F601*G601)</f>
        <v/>
      </c>
      <c r="K601" s="5" t="str">
        <f aca="false">IF(A601="","",IF(H601&lt;&gt;"",Assumptions!$D$5-H601,IF(C601="","",Assumptions!$D$5-(C601+Assumptions!$B$8))))</f>
        <v/>
      </c>
      <c r="L601" s="5" t="str">
        <f aca="false">IF(K601="","",IF(K601&lt;0,"Phase 1 (unliquidated)",IF(K601&lt;=Assumptions!$B$7,"Phase 1 (recently liquidated)",IF(K601&lt;=Assumptions!$B$6,"Protest required","Deadline passed — litigation only"))))</f>
        <v/>
      </c>
      <c r="M601" s="20" t="str">
        <f aca="false">IF(K601="","",IF(H601&lt;&gt;"",H601+Assumptions!$B$6,C601+Assumptions!$B$8+Assumptions!$B$6))</f>
        <v/>
      </c>
      <c r="N601" s="20" t="str">
        <f aca="false">IF(K601="","",IF(K601&lt;0,IF(H601&lt;&gt;"",H601+Assumptions!$B$7,C601+Assumptions!$B$8+Assumptions!$B$7),M601))</f>
        <v/>
      </c>
      <c r="O601" s="21" t="str">
        <f aca="false">IF(N601="","",N601-Assumptions!$D$5)</f>
        <v/>
      </c>
      <c r="P601" s="22"/>
      <c r="Q601" s="22"/>
      <c r="R601" s="18" t="str">
        <f aca="false">IF(Q601="","",Q601*IF(LEFT(L601,7)="Phase 1",Assumptions!$B$11,Assumptions!$B$12))</f>
        <v/>
      </c>
    </row>
    <row r="602" customFormat="false" ht="15" hidden="false" customHeight="true" outlineLevel="0" collapsed="false">
      <c r="C602" s="24"/>
      <c r="F602" s="22"/>
      <c r="G602" s="23"/>
      <c r="H602" s="24"/>
      <c r="J602" s="18" t="str">
        <f aca="false">IF(F602="","",F602*G602)</f>
        <v/>
      </c>
      <c r="K602" s="5" t="str">
        <f aca="false">IF(A602="","",IF(H602&lt;&gt;"",Assumptions!$D$5-H602,IF(C602="","",Assumptions!$D$5-(C602+Assumptions!$B$8))))</f>
        <v/>
      </c>
      <c r="L602" s="5" t="str">
        <f aca="false">IF(K602="","",IF(K602&lt;0,"Phase 1 (unliquidated)",IF(K602&lt;=Assumptions!$B$7,"Phase 1 (recently liquidated)",IF(K602&lt;=Assumptions!$B$6,"Protest required","Deadline passed — litigation only"))))</f>
        <v/>
      </c>
      <c r="M602" s="20" t="str">
        <f aca="false">IF(K602="","",IF(H602&lt;&gt;"",H602+Assumptions!$B$6,C602+Assumptions!$B$8+Assumptions!$B$6))</f>
        <v/>
      </c>
      <c r="N602" s="20" t="str">
        <f aca="false">IF(K602="","",IF(K602&lt;0,IF(H602&lt;&gt;"",H602+Assumptions!$B$7,C602+Assumptions!$B$8+Assumptions!$B$7),M602))</f>
        <v/>
      </c>
      <c r="O602" s="21" t="str">
        <f aca="false">IF(N602="","",N602-Assumptions!$D$5)</f>
        <v/>
      </c>
      <c r="P602" s="22"/>
      <c r="Q602" s="22"/>
      <c r="R602" s="18" t="str">
        <f aca="false">IF(Q602="","",Q602*IF(LEFT(L602,7)="Phase 1",Assumptions!$B$11,Assumptions!$B$12))</f>
        <v/>
      </c>
    </row>
    <row r="603" customFormat="false" ht="15" hidden="false" customHeight="true" outlineLevel="0" collapsed="false">
      <c r="C603" s="24"/>
      <c r="F603" s="22"/>
      <c r="G603" s="23"/>
      <c r="H603" s="24"/>
      <c r="J603" s="18" t="str">
        <f aca="false">IF(F603="","",F603*G603)</f>
        <v/>
      </c>
      <c r="K603" s="5" t="str">
        <f aca="false">IF(A603="","",IF(H603&lt;&gt;"",Assumptions!$D$5-H603,IF(C603="","",Assumptions!$D$5-(C603+Assumptions!$B$8))))</f>
        <v/>
      </c>
      <c r="L603" s="5" t="str">
        <f aca="false">IF(K603="","",IF(K603&lt;0,"Phase 1 (unliquidated)",IF(K603&lt;=Assumptions!$B$7,"Phase 1 (recently liquidated)",IF(K603&lt;=Assumptions!$B$6,"Protest required","Deadline passed — litigation only"))))</f>
        <v/>
      </c>
      <c r="M603" s="20" t="str">
        <f aca="false">IF(K603="","",IF(H603&lt;&gt;"",H603+Assumptions!$B$6,C603+Assumptions!$B$8+Assumptions!$B$6))</f>
        <v/>
      </c>
      <c r="N603" s="20" t="str">
        <f aca="false">IF(K603="","",IF(K603&lt;0,IF(H603&lt;&gt;"",H603+Assumptions!$B$7,C603+Assumptions!$B$8+Assumptions!$B$7),M603))</f>
        <v/>
      </c>
      <c r="O603" s="21" t="str">
        <f aca="false">IF(N603="","",N603-Assumptions!$D$5)</f>
        <v/>
      </c>
      <c r="P603" s="22"/>
      <c r="Q603" s="22"/>
      <c r="R603" s="18" t="str">
        <f aca="false">IF(Q603="","",Q603*IF(LEFT(L603,7)="Phase 1",Assumptions!$B$11,Assumptions!$B$12))</f>
        <v/>
      </c>
    </row>
    <row r="604" customFormat="false" ht="15" hidden="false" customHeight="true" outlineLevel="0" collapsed="false">
      <c r="C604" s="24"/>
      <c r="F604" s="22"/>
      <c r="G604" s="23"/>
      <c r="H604" s="24"/>
      <c r="J604" s="18" t="str">
        <f aca="false">IF(F604="","",F604*G604)</f>
        <v/>
      </c>
      <c r="K604" s="5" t="str">
        <f aca="false">IF(A604="","",IF(H604&lt;&gt;"",Assumptions!$D$5-H604,IF(C604="","",Assumptions!$D$5-(C604+Assumptions!$B$8))))</f>
        <v/>
      </c>
      <c r="L604" s="5" t="str">
        <f aca="false">IF(K604="","",IF(K604&lt;0,"Phase 1 (unliquidated)",IF(K604&lt;=Assumptions!$B$7,"Phase 1 (recently liquidated)",IF(K604&lt;=Assumptions!$B$6,"Protest required","Deadline passed — litigation only"))))</f>
        <v/>
      </c>
      <c r="M604" s="20" t="str">
        <f aca="false">IF(K604="","",IF(H604&lt;&gt;"",H604+Assumptions!$B$6,C604+Assumptions!$B$8+Assumptions!$B$6))</f>
        <v/>
      </c>
      <c r="N604" s="20" t="str">
        <f aca="false">IF(K604="","",IF(K604&lt;0,IF(H604&lt;&gt;"",H604+Assumptions!$B$7,C604+Assumptions!$B$8+Assumptions!$B$7),M604))</f>
        <v/>
      </c>
      <c r="O604" s="21" t="str">
        <f aca="false">IF(N604="","",N604-Assumptions!$D$5)</f>
        <v/>
      </c>
      <c r="P604" s="22"/>
      <c r="Q604" s="22"/>
      <c r="R604" s="18" t="str">
        <f aca="false">IF(Q604="","",Q604*IF(LEFT(L604,7)="Phase 1",Assumptions!$B$11,Assumptions!$B$12))</f>
        <v/>
      </c>
    </row>
    <row r="605" customFormat="false" ht="15" hidden="false" customHeight="true" outlineLevel="0" collapsed="false">
      <c r="C605" s="24"/>
      <c r="F605" s="22"/>
      <c r="G605" s="23"/>
      <c r="H605" s="24"/>
      <c r="J605" s="18" t="str">
        <f aca="false">IF(F605="","",F605*G605)</f>
        <v/>
      </c>
      <c r="K605" s="5" t="str">
        <f aca="false">IF(A605="","",IF(H605&lt;&gt;"",Assumptions!$D$5-H605,IF(C605="","",Assumptions!$D$5-(C605+Assumptions!$B$8))))</f>
        <v/>
      </c>
      <c r="L605" s="5" t="str">
        <f aca="false">IF(K605="","",IF(K605&lt;0,"Phase 1 (unliquidated)",IF(K605&lt;=Assumptions!$B$7,"Phase 1 (recently liquidated)",IF(K605&lt;=Assumptions!$B$6,"Protest required","Deadline passed — litigation only"))))</f>
        <v/>
      </c>
      <c r="M605" s="20" t="str">
        <f aca="false">IF(K605="","",IF(H605&lt;&gt;"",H605+Assumptions!$B$6,C605+Assumptions!$B$8+Assumptions!$B$6))</f>
        <v/>
      </c>
      <c r="N605" s="20" t="str">
        <f aca="false">IF(K605="","",IF(K605&lt;0,IF(H605&lt;&gt;"",H605+Assumptions!$B$7,C605+Assumptions!$B$8+Assumptions!$B$7),M605))</f>
        <v/>
      </c>
      <c r="O605" s="21" t="str">
        <f aca="false">IF(N605="","",N605-Assumptions!$D$5)</f>
        <v/>
      </c>
      <c r="P605" s="22"/>
      <c r="Q605" s="22"/>
      <c r="R605" s="18" t="str">
        <f aca="false">IF(Q605="","",Q605*IF(LEFT(L605,7)="Phase 1",Assumptions!$B$11,Assumptions!$B$12))</f>
        <v/>
      </c>
    </row>
    <row r="606" customFormat="false" ht="15" hidden="false" customHeight="true" outlineLevel="0" collapsed="false">
      <c r="C606" s="24"/>
      <c r="F606" s="22"/>
      <c r="G606" s="23"/>
      <c r="H606" s="24"/>
      <c r="J606" s="18" t="str">
        <f aca="false">IF(F606="","",F606*G606)</f>
        <v/>
      </c>
      <c r="K606" s="5" t="str">
        <f aca="false">IF(A606="","",IF(H606&lt;&gt;"",Assumptions!$D$5-H606,IF(C606="","",Assumptions!$D$5-(C606+Assumptions!$B$8))))</f>
        <v/>
      </c>
      <c r="L606" s="5" t="str">
        <f aca="false">IF(K606="","",IF(K606&lt;0,"Phase 1 (unliquidated)",IF(K606&lt;=Assumptions!$B$7,"Phase 1 (recently liquidated)",IF(K606&lt;=Assumptions!$B$6,"Protest required","Deadline passed — litigation only"))))</f>
        <v/>
      </c>
      <c r="M606" s="20" t="str">
        <f aca="false">IF(K606="","",IF(H606&lt;&gt;"",H606+Assumptions!$B$6,C606+Assumptions!$B$8+Assumptions!$B$6))</f>
        <v/>
      </c>
      <c r="N606" s="20" t="str">
        <f aca="false">IF(K606="","",IF(K606&lt;0,IF(H606&lt;&gt;"",H606+Assumptions!$B$7,C606+Assumptions!$B$8+Assumptions!$B$7),M606))</f>
        <v/>
      </c>
      <c r="O606" s="21" t="str">
        <f aca="false">IF(N606="","",N606-Assumptions!$D$5)</f>
        <v/>
      </c>
      <c r="P606" s="22"/>
      <c r="Q606" s="22"/>
      <c r="R606" s="18" t="str">
        <f aca="false">IF(Q606="","",Q606*IF(LEFT(L606,7)="Phase 1",Assumptions!$B$11,Assumptions!$B$12))</f>
        <v/>
      </c>
    </row>
    <row r="607" customFormat="false" ht="15" hidden="false" customHeight="true" outlineLevel="0" collapsed="false">
      <c r="C607" s="24"/>
      <c r="F607" s="22"/>
      <c r="G607" s="23"/>
      <c r="H607" s="24"/>
      <c r="J607" s="18" t="str">
        <f aca="false">IF(F607="","",F607*G607)</f>
        <v/>
      </c>
      <c r="K607" s="5" t="str">
        <f aca="false">IF(A607="","",IF(H607&lt;&gt;"",Assumptions!$D$5-H607,IF(C607="","",Assumptions!$D$5-(C607+Assumptions!$B$8))))</f>
        <v/>
      </c>
      <c r="L607" s="5" t="str">
        <f aca="false">IF(K607="","",IF(K607&lt;0,"Phase 1 (unliquidated)",IF(K607&lt;=Assumptions!$B$7,"Phase 1 (recently liquidated)",IF(K607&lt;=Assumptions!$B$6,"Protest required","Deadline passed — litigation only"))))</f>
        <v/>
      </c>
      <c r="M607" s="20" t="str">
        <f aca="false">IF(K607="","",IF(H607&lt;&gt;"",H607+Assumptions!$B$6,C607+Assumptions!$B$8+Assumptions!$B$6))</f>
        <v/>
      </c>
      <c r="N607" s="20" t="str">
        <f aca="false">IF(K607="","",IF(K607&lt;0,IF(H607&lt;&gt;"",H607+Assumptions!$B$7,C607+Assumptions!$B$8+Assumptions!$B$7),M607))</f>
        <v/>
      </c>
      <c r="O607" s="21" t="str">
        <f aca="false">IF(N607="","",N607-Assumptions!$D$5)</f>
        <v/>
      </c>
      <c r="P607" s="22"/>
      <c r="Q607" s="22"/>
      <c r="R607" s="18" t="str">
        <f aca="false">IF(Q607="","",Q607*IF(LEFT(L607,7)="Phase 1",Assumptions!$B$11,Assumptions!$B$12))</f>
        <v/>
      </c>
    </row>
    <row r="608" customFormat="false" ht="15" hidden="false" customHeight="true" outlineLevel="0" collapsed="false">
      <c r="C608" s="24"/>
      <c r="F608" s="22"/>
      <c r="G608" s="23"/>
      <c r="H608" s="24"/>
      <c r="J608" s="18" t="str">
        <f aca="false">IF(F608="","",F608*G608)</f>
        <v/>
      </c>
      <c r="K608" s="5" t="str">
        <f aca="false">IF(A608="","",IF(H608&lt;&gt;"",Assumptions!$D$5-H608,IF(C608="","",Assumptions!$D$5-(C608+Assumptions!$B$8))))</f>
        <v/>
      </c>
      <c r="L608" s="5" t="str">
        <f aca="false">IF(K608="","",IF(K608&lt;0,"Phase 1 (unliquidated)",IF(K608&lt;=Assumptions!$B$7,"Phase 1 (recently liquidated)",IF(K608&lt;=Assumptions!$B$6,"Protest required","Deadline passed — litigation only"))))</f>
        <v/>
      </c>
      <c r="M608" s="20" t="str">
        <f aca="false">IF(K608="","",IF(H608&lt;&gt;"",H608+Assumptions!$B$6,C608+Assumptions!$B$8+Assumptions!$B$6))</f>
        <v/>
      </c>
      <c r="N608" s="20" t="str">
        <f aca="false">IF(K608="","",IF(K608&lt;0,IF(H608&lt;&gt;"",H608+Assumptions!$B$7,C608+Assumptions!$B$8+Assumptions!$B$7),M608))</f>
        <v/>
      </c>
      <c r="O608" s="21" t="str">
        <f aca="false">IF(N608="","",N608-Assumptions!$D$5)</f>
        <v/>
      </c>
      <c r="P608" s="22"/>
      <c r="Q608" s="22"/>
      <c r="R608" s="18" t="str">
        <f aca="false">IF(Q608="","",Q608*IF(LEFT(L608,7)="Phase 1",Assumptions!$B$11,Assumptions!$B$12))</f>
        <v/>
      </c>
    </row>
    <row r="609" customFormat="false" ht="15" hidden="false" customHeight="true" outlineLevel="0" collapsed="false">
      <c r="C609" s="24"/>
      <c r="F609" s="22"/>
      <c r="G609" s="23"/>
      <c r="H609" s="24"/>
      <c r="J609" s="18" t="str">
        <f aca="false">IF(F609="","",F609*G609)</f>
        <v/>
      </c>
      <c r="K609" s="5" t="str">
        <f aca="false">IF(A609="","",IF(H609&lt;&gt;"",Assumptions!$D$5-H609,IF(C609="","",Assumptions!$D$5-(C609+Assumptions!$B$8))))</f>
        <v/>
      </c>
      <c r="L609" s="5" t="str">
        <f aca="false">IF(K609="","",IF(K609&lt;0,"Phase 1 (unliquidated)",IF(K609&lt;=Assumptions!$B$7,"Phase 1 (recently liquidated)",IF(K609&lt;=Assumptions!$B$6,"Protest required","Deadline passed — litigation only"))))</f>
        <v/>
      </c>
      <c r="M609" s="20" t="str">
        <f aca="false">IF(K609="","",IF(H609&lt;&gt;"",H609+Assumptions!$B$6,C609+Assumptions!$B$8+Assumptions!$B$6))</f>
        <v/>
      </c>
      <c r="N609" s="20" t="str">
        <f aca="false">IF(K609="","",IF(K609&lt;0,IF(H609&lt;&gt;"",H609+Assumptions!$B$7,C609+Assumptions!$B$8+Assumptions!$B$7),M609))</f>
        <v/>
      </c>
      <c r="O609" s="21" t="str">
        <f aca="false">IF(N609="","",N609-Assumptions!$D$5)</f>
        <v/>
      </c>
      <c r="P609" s="22"/>
      <c r="Q609" s="22"/>
      <c r="R609" s="18" t="str">
        <f aca="false">IF(Q609="","",Q609*IF(LEFT(L609,7)="Phase 1",Assumptions!$B$11,Assumptions!$B$12))</f>
        <v/>
      </c>
    </row>
    <row r="610" customFormat="false" ht="15" hidden="false" customHeight="true" outlineLevel="0" collapsed="false">
      <c r="C610" s="24"/>
      <c r="F610" s="22"/>
      <c r="G610" s="23"/>
      <c r="H610" s="24"/>
      <c r="J610" s="18" t="str">
        <f aca="false">IF(F610="","",F610*G610)</f>
        <v/>
      </c>
      <c r="K610" s="5" t="str">
        <f aca="false">IF(A610="","",IF(H610&lt;&gt;"",Assumptions!$D$5-H610,IF(C610="","",Assumptions!$D$5-(C610+Assumptions!$B$8))))</f>
        <v/>
      </c>
      <c r="L610" s="5" t="str">
        <f aca="false">IF(K610="","",IF(K610&lt;0,"Phase 1 (unliquidated)",IF(K610&lt;=Assumptions!$B$7,"Phase 1 (recently liquidated)",IF(K610&lt;=Assumptions!$B$6,"Protest required","Deadline passed — litigation only"))))</f>
        <v/>
      </c>
      <c r="M610" s="20" t="str">
        <f aca="false">IF(K610="","",IF(H610&lt;&gt;"",H610+Assumptions!$B$6,C610+Assumptions!$B$8+Assumptions!$B$6))</f>
        <v/>
      </c>
      <c r="N610" s="20" t="str">
        <f aca="false">IF(K610="","",IF(K610&lt;0,IF(H610&lt;&gt;"",H610+Assumptions!$B$7,C610+Assumptions!$B$8+Assumptions!$B$7),M610))</f>
        <v/>
      </c>
      <c r="O610" s="21" t="str">
        <f aca="false">IF(N610="","",N610-Assumptions!$D$5)</f>
        <v/>
      </c>
      <c r="P610" s="22"/>
      <c r="Q610" s="22"/>
      <c r="R610" s="18" t="str">
        <f aca="false">IF(Q610="","",Q610*IF(LEFT(L610,7)="Phase 1",Assumptions!$B$11,Assumptions!$B$12))</f>
        <v/>
      </c>
    </row>
    <row r="611" customFormat="false" ht="15" hidden="false" customHeight="true" outlineLevel="0" collapsed="false">
      <c r="C611" s="24"/>
      <c r="F611" s="22"/>
      <c r="G611" s="23"/>
      <c r="H611" s="24"/>
      <c r="J611" s="18" t="str">
        <f aca="false">IF(F611="","",F611*G611)</f>
        <v/>
      </c>
      <c r="K611" s="5" t="str">
        <f aca="false">IF(A611="","",IF(H611&lt;&gt;"",Assumptions!$D$5-H611,IF(C611="","",Assumptions!$D$5-(C611+Assumptions!$B$8))))</f>
        <v/>
      </c>
      <c r="L611" s="5" t="str">
        <f aca="false">IF(K611="","",IF(K611&lt;0,"Phase 1 (unliquidated)",IF(K611&lt;=Assumptions!$B$7,"Phase 1 (recently liquidated)",IF(K611&lt;=Assumptions!$B$6,"Protest required","Deadline passed — litigation only"))))</f>
        <v/>
      </c>
      <c r="M611" s="20" t="str">
        <f aca="false">IF(K611="","",IF(H611&lt;&gt;"",H611+Assumptions!$B$6,C611+Assumptions!$B$8+Assumptions!$B$6))</f>
        <v/>
      </c>
      <c r="N611" s="20" t="str">
        <f aca="false">IF(K611="","",IF(K611&lt;0,IF(H611&lt;&gt;"",H611+Assumptions!$B$7,C611+Assumptions!$B$8+Assumptions!$B$7),M611))</f>
        <v/>
      </c>
      <c r="O611" s="21" t="str">
        <f aca="false">IF(N611="","",N611-Assumptions!$D$5)</f>
        <v/>
      </c>
      <c r="P611" s="22"/>
      <c r="Q611" s="22"/>
      <c r="R611" s="18" t="str">
        <f aca="false">IF(Q611="","",Q611*IF(LEFT(L611,7)="Phase 1",Assumptions!$B$11,Assumptions!$B$12))</f>
        <v/>
      </c>
    </row>
    <row r="612" customFormat="false" ht="15" hidden="false" customHeight="true" outlineLevel="0" collapsed="false">
      <c r="C612" s="24"/>
      <c r="F612" s="22"/>
      <c r="G612" s="23"/>
      <c r="H612" s="24"/>
      <c r="J612" s="18" t="str">
        <f aca="false">IF(F612="","",F612*G612)</f>
        <v/>
      </c>
      <c r="K612" s="5" t="str">
        <f aca="false">IF(A612="","",IF(H612&lt;&gt;"",Assumptions!$D$5-H612,IF(C612="","",Assumptions!$D$5-(C612+Assumptions!$B$8))))</f>
        <v/>
      </c>
      <c r="L612" s="5" t="str">
        <f aca="false">IF(K612="","",IF(K612&lt;0,"Phase 1 (unliquidated)",IF(K612&lt;=Assumptions!$B$7,"Phase 1 (recently liquidated)",IF(K612&lt;=Assumptions!$B$6,"Protest required","Deadline passed — litigation only"))))</f>
        <v/>
      </c>
      <c r="M612" s="20" t="str">
        <f aca="false">IF(K612="","",IF(H612&lt;&gt;"",H612+Assumptions!$B$6,C612+Assumptions!$B$8+Assumptions!$B$6))</f>
        <v/>
      </c>
      <c r="N612" s="20" t="str">
        <f aca="false">IF(K612="","",IF(K612&lt;0,IF(H612&lt;&gt;"",H612+Assumptions!$B$7,C612+Assumptions!$B$8+Assumptions!$B$7),M612))</f>
        <v/>
      </c>
      <c r="O612" s="21" t="str">
        <f aca="false">IF(N612="","",N612-Assumptions!$D$5)</f>
        <v/>
      </c>
      <c r="P612" s="22"/>
      <c r="Q612" s="22"/>
      <c r="R612" s="18" t="str">
        <f aca="false">IF(Q612="","",Q612*IF(LEFT(L612,7)="Phase 1",Assumptions!$B$11,Assumptions!$B$12))</f>
        <v/>
      </c>
    </row>
    <row r="613" customFormat="false" ht="15" hidden="false" customHeight="true" outlineLevel="0" collapsed="false">
      <c r="C613" s="24"/>
      <c r="F613" s="22"/>
      <c r="G613" s="23"/>
      <c r="H613" s="24"/>
      <c r="J613" s="18" t="str">
        <f aca="false">IF(F613="","",F613*G613)</f>
        <v/>
      </c>
      <c r="K613" s="5" t="str">
        <f aca="false">IF(A613="","",IF(H613&lt;&gt;"",Assumptions!$D$5-H613,IF(C613="","",Assumptions!$D$5-(C613+Assumptions!$B$8))))</f>
        <v/>
      </c>
      <c r="L613" s="5" t="str">
        <f aca="false">IF(K613="","",IF(K613&lt;0,"Phase 1 (unliquidated)",IF(K613&lt;=Assumptions!$B$7,"Phase 1 (recently liquidated)",IF(K613&lt;=Assumptions!$B$6,"Protest required","Deadline passed — litigation only"))))</f>
        <v/>
      </c>
      <c r="M613" s="20" t="str">
        <f aca="false">IF(K613="","",IF(H613&lt;&gt;"",H613+Assumptions!$B$6,C613+Assumptions!$B$8+Assumptions!$B$6))</f>
        <v/>
      </c>
      <c r="N613" s="20" t="str">
        <f aca="false">IF(K613="","",IF(K613&lt;0,IF(H613&lt;&gt;"",H613+Assumptions!$B$7,C613+Assumptions!$B$8+Assumptions!$B$7),M613))</f>
        <v/>
      </c>
      <c r="O613" s="21" t="str">
        <f aca="false">IF(N613="","",N613-Assumptions!$D$5)</f>
        <v/>
      </c>
      <c r="P613" s="22"/>
      <c r="Q613" s="22"/>
      <c r="R613" s="18" t="str">
        <f aca="false">IF(Q613="","",Q613*IF(LEFT(L613,7)="Phase 1",Assumptions!$B$11,Assumptions!$B$12))</f>
        <v/>
      </c>
    </row>
    <row r="614" customFormat="false" ht="15" hidden="false" customHeight="true" outlineLevel="0" collapsed="false">
      <c r="C614" s="24"/>
      <c r="F614" s="22"/>
      <c r="G614" s="23"/>
      <c r="H614" s="24"/>
      <c r="J614" s="18" t="str">
        <f aca="false">IF(F614="","",F614*G614)</f>
        <v/>
      </c>
      <c r="K614" s="5" t="str">
        <f aca="false">IF(A614="","",IF(H614&lt;&gt;"",Assumptions!$D$5-H614,IF(C614="","",Assumptions!$D$5-(C614+Assumptions!$B$8))))</f>
        <v/>
      </c>
      <c r="L614" s="5" t="str">
        <f aca="false">IF(K614="","",IF(K614&lt;0,"Phase 1 (unliquidated)",IF(K614&lt;=Assumptions!$B$7,"Phase 1 (recently liquidated)",IF(K614&lt;=Assumptions!$B$6,"Protest required","Deadline passed — litigation only"))))</f>
        <v/>
      </c>
      <c r="M614" s="20" t="str">
        <f aca="false">IF(K614="","",IF(H614&lt;&gt;"",H614+Assumptions!$B$6,C614+Assumptions!$B$8+Assumptions!$B$6))</f>
        <v/>
      </c>
      <c r="N614" s="20" t="str">
        <f aca="false">IF(K614="","",IF(K614&lt;0,IF(H614&lt;&gt;"",H614+Assumptions!$B$7,C614+Assumptions!$B$8+Assumptions!$B$7),M614))</f>
        <v/>
      </c>
      <c r="O614" s="21" t="str">
        <f aca="false">IF(N614="","",N614-Assumptions!$D$5)</f>
        <v/>
      </c>
      <c r="P614" s="22"/>
      <c r="Q614" s="22"/>
      <c r="R614" s="18" t="str">
        <f aca="false">IF(Q614="","",Q614*IF(LEFT(L614,7)="Phase 1",Assumptions!$B$11,Assumptions!$B$12))</f>
        <v/>
      </c>
    </row>
    <row r="615" customFormat="false" ht="15" hidden="false" customHeight="true" outlineLevel="0" collapsed="false">
      <c r="C615" s="24"/>
      <c r="F615" s="22"/>
      <c r="G615" s="23"/>
      <c r="H615" s="24"/>
      <c r="J615" s="18" t="str">
        <f aca="false">IF(F615="","",F615*G615)</f>
        <v/>
      </c>
      <c r="K615" s="5" t="str">
        <f aca="false">IF(A615="","",IF(H615&lt;&gt;"",Assumptions!$D$5-H615,IF(C615="","",Assumptions!$D$5-(C615+Assumptions!$B$8))))</f>
        <v/>
      </c>
      <c r="L615" s="5" t="str">
        <f aca="false">IF(K615="","",IF(K615&lt;0,"Phase 1 (unliquidated)",IF(K615&lt;=Assumptions!$B$7,"Phase 1 (recently liquidated)",IF(K615&lt;=Assumptions!$B$6,"Protest required","Deadline passed — litigation only"))))</f>
        <v/>
      </c>
      <c r="M615" s="20" t="str">
        <f aca="false">IF(K615="","",IF(H615&lt;&gt;"",H615+Assumptions!$B$6,C615+Assumptions!$B$8+Assumptions!$B$6))</f>
        <v/>
      </c>
      <c r="N615" s="20" t="str">
        <f aca="false">IF(K615="","",IF(K615&lt;0,IF(H615&lt;&gt;"",H615+Assumptions!$B$7,C615+Assumptions!$B$8+Assumptions!$B$7),M615))</f>
        <v/>
      </c>
      <c r="O615" s="21" t="str">
        <f aca="false">IF(N615="","",N615-Assumptions!$D$5)</f>
        <v/>
      </c>
      <c r="P615" s="22"/>
      <c r="Q615" s="22"/>
      <c r="R615" s="18" t="str">
        <f aca="false">IF(Q615="","",Q615*IF(LEFT(L615,7)="Phase 1",Assumptions!$B$11,Assumptions!$B$12))</f>
        <v/>
      </c>
    </row>
    <row r="616" customFormat="false" ht="15" hidden="false" customHeight="true" outlineLevel="0" collapsed="false">
      <c r="C616" s="24"/>
      <c r="F616" s="22"/>
      <c r="G616" s="23"/>
      <c r="H616" s="24"/>
      <c r="J616" s="18" t="str">
        <f aca="false">IF(F616="","",F616*G616)</f>
        <v/>
      </c>
      <c r="K616" s="5" t="str">
        <f aca="false">IF(A616="","",IF(H616&lt;&gt;"",Assumptions!$D$5-H616,IF(C616="","",Assumptions!$D$5-(C616+Assumptions!$B$8))))</f>
        <v/>
      </c>
      <c r="L616" s="5" t="str">
        <f aca="false">IF(K616="","",IF(K616&lt;0,"Phase 1 (unliquidated)",IF(K616&lt;=Assumptions!$B$7,"Phase 1 (recently liquidated)",IF(K616&lt;=Assumptions!$B$6,"Protest required","Deadline passed — litigation only"))))</f>
        <v/>
      </c>
      <c r="M616" s="20" t="str">
        <f aca="false">IF(K616="","",IF(H616&lt;&gt;"",H616+Assumptions!$B$6,C616+Assumptions!$B$8+Assumptions!$B$6))</f>
        <v/>
      </c>
      <c r="N616" s="20" t="str">
        <f aca="false">IF(K616="","",IF(K616&lt;0,IF(H616&lt;&gt;"",H616+Assumptions!$B$7,C616+Assumptions!$B$8+Assumptions!$B$7),M616))</f>
        <v/>
      </c>
      <c r="O616" s="21" t="str">
        <f aca="false">IF(N616="","",N616-Assumptions!$D$5)</f>
        <v/>
      </c>
      <c r="P616" s="22"/>
      <c r="Q616" s="22"/>
      <c r="R616" s="18" t="str">
        <f aca="false">IF(Q616="","",Q616*IF(LEFT(L616,7)="Phase 1",Assumptions!$B$11,Assumptions!$B$12))</f>
        <v/>
      </c>
    </row>
    <row r="617" customFormat="false" ht="15" hidden="false" customHeight="true" outlineLevel="0" collapsed="false">
      <c r="C617" s="24"/>
      <c r="F617" s="22"/>
      <c r="G617" s="23"/>
      <c r="H617" s="24"/>
      <c r="J617" s="18" t="str">
        <f aca="false">IF(F617="","",F617*G617)</f>
        <v/>
      </c>
      <c r="K617" s="5" t="str">
        <f aca="false">IF(A617="","",IF(H617&lt;&gt;"",Assumptions!$D$5-H617,IF(C617="","",Assumptions!$D$5-(C617+Assumptions!$B$8))))</f>
        <v/>
      </c>
      <c r="L617" s="5" t="str">
        <f aca="false">IF(K617="","",IF(K617&lt;0,"Phase 1 (unliquidated)",IF(K617&lt;=Assumptions!$B$7,"Phase 1 (recently liquidated)",IF(K617&lt;=Assumptions!$B$6,"Protest required","Deadline passed — litigation only"))))</f>
        <v/>
      </c>
      <c r="M617" s="20" t="str">
        <f aca="false">IF(K617="","",IF(H617&lt;&gt;"",H617+Assumptions!$B$6,C617+Assumptions!$B$8+Assumptions!$B$6))</f>
        <v/>
      </c>
      <c r="N617" s="20" t="str">
        <f aca="false">IF(K617="","",IF(K617&lt;0,IF(H617&lt;&gt;"",H617+Assumptions!$B$7,C617+Assumptions!$B$8+Assumptions!$B$7),M617))</f>
        <v/>
      </c>
      <c r="O617" s="21" t="str">
        <f aca="false">IF(N617="","",N617-Assumptions!$D$5)</f>
        <v/>
      </c>
      <c r="P617" s="22"/>
      <c r="Q617" s="22"/>
      <c r="R617" s="18" t="str">
        <f aca="false">IF(Q617="","",Q617*IF(LEFT(L617,7)="Phase 1",Assumptions!$B$11,Assumptions!$B$12))</f>
        <v/>
      </c>
    </row>
    <row r="618" customFormat="false" ht="15" hidden="false" customHeight="true" outlineLevel="0" collapsed="false">
      <c r="C618" s="24"/>
      <c r="F618" s="22"/>
      <c r="G618" s="23"/>
      <c r="H618" s="24"/>
      <c r="J618" s="18" t="str">
        <f aca="false">IF(F618="","",F618*G618)</f>
        <v/>
      </c>
      <c r="K618" s="5" t="str">
        <f aca="false">IF(A618="","",IF(H618&lt;&gt;"",Assumptions!$D$5-H618,IF(C618="","",Assumptions!$D$5-(C618+Assumptions!$B$8))))</f>
        <v/>
      </c>
      <c r="L618" s="5" t="str">
        <f aca="false">IF(K618="","",IF(K618&lt;0,"Phase 1 (unliquidated)",IF(K618&lt;=Assumptions!$B$7,"Phase 1 (recently liquidated)",IF(K618&lt;=Assumptions!$B$6,"Protest required","Deadline passed — litigation only"))))</f>
        <v/>
      </c>
      <c r="M618" s="20" t="str">
        <f aca="false">IF(K618="","",IF(H618&lt;&gt;"",H618+Assumptions!$B$6,C618+Assumptions!$B$8+Assumptions!$B$6))</f>
        <v/>
      </c>
      <c r="N618" s="20" t="str">
        <f aca="false">IF(K618="","",IF(K618&lt;0,IF(H618&lt;&gt;"",H618+Assumptions!$B$7,C618+Assumptions!$B$8+Assumptions!$B$7),M618))</f>
        <v/>
      </c>
      <c r="O618" s="21" t="str">
        <f aca="false">IF(N618="","",N618-Assumptions!$D$5)</f>
        <v/>
      </c>
      <c r="P618" s="22"/>
      <c r="Q618" s="22"/>
      <c r="R618" s="18" t="str">
        <f aca="false">IF(Q618="","",Q618*IF(LEFT(L618,7)="Phase 1",Assumptions!$B$11,Assumptions!$B$12))</f>
        <v/>
      </c>
    </row>
    <row r="619" customFormat="false" ht="15" hidden="false" customHeight="true" outlineLevel="0" collapsed="false">
      <c r="C619" s="24"/>
      <c r="F619" s="22"/>
      <c r="G619" s="23"/>
      <c r="H619" s="24"/>
      <c r="J619" s="18" t="str">
        <f aca="false">IF(F619="","",F619*G619)</f>
        <v/>
      </c>
      <c r="K619" s="5" t="str">
        <f aca="false">IF(A619="","",IF(H619&lt;&gt;"",Assumptions!$D$5-H619,IF(C619="","",Assumptions!$D$5-(C619+Assumptions!$B$8))))</f>
        <v/>
      </c>
      <c r="L619" s="5" t="str">
        <f aca="false">IF(K619="","",IF(K619&lt;0,"Phase 1 (unliquidated)",IF(K619&lt;=Assumptions!$B$7,"Phase 1 (recently liquidated)",IF(K619&lt;=Assumptions!$B$6,"Protest required","Deadline passed — litigation only"))))</f>
        <v/>
      </c>
      <c r="M619" s="20" t="str">
        <f aca="false">IF(K619="","",IF(H619&lt;&gt;"",H619+Assumptions!$B$6,C619+Assumptions!$B$8+Assumptions!$B$6))</f>
        <v/>
      </c>
      <c r="N619" s="20" t="str">
        <f aca="false">IF(K619="","",IF(K619&lt;0,IF(H619&lt;&gt;"",H619+Assumptions!$B$7,C619+Assumptions!$B$8+Assumptions!$B$7),M619))</f>
        <v/>
      </c>
      <c r="O619" s="21" t="str">
        <f aca="false">IF(N619="","",N619-Assumptions!$D$5)</f>
        <v/>
      </c>
      <c r="P619" s="22"/>
      <c r="Q619" s="22"/>
      <c r="R619" s="18" t="str">
        <f aca="false">IF(Q619="","",Q619*IF(LEFT(L619,7)="Phase 1",Assumptions!$B$11,Assumptions!$B$12))</f>
        <v/>
      </c>
    </row>
    <row r="620" customFormat="false" ht="15" hidden="false" customHeight="true" outlineLevel="0" collapsed="false">
      <c r="C620" s="24"/>
      <c r="F620" s="22"/>
      <c r="G620" s="23"/>
      <c r="H620" s="24"/>
      <c r="J620" s="18" t="str">
        <f aca="false">IF(F620="","",F620*G620)</f>
        <v/>
      </c>
      <c r="K620" s="5" t="str">
        <f aca="false">IF(A620="","",IF(H620&lt;&gt;"",Assumptions!$D$5-H620,IF(C620="","",Assumptions!$D$5-(C620+Assumptions!$B$8))))</f>
        <v/>
      </c>
      <c r="L620" s="5" t="str">
        <f aca="false">IF(K620="","",IF(K620&lt;0,"Phase 1 (unliquidated)",IF(K620&lt;=Assumptions!$B$7,"Phase 1 (recently liquidated)",IF(K620&lt;=Assumptions!$B$6,"Protest required","Deadline passed — litigation only"))))</f>
        <v/>
      </c>
      <c r="M620" s="20" t="str">
        <f aca="false">IF(K620="","",IF(H620&lt;&gt;"",H620+Assumptions!$B$6,C620+Assumptions!$B$8+Assumptions!$B$6))</f>
        <v/>
      </c>
      <c r="N620" s="20" t="str">
        <f aca="false">IF(K620="","",IF(K620&lt;0,IF(H620&lt;&gt;"",H620+Assumptions!$B$7,C620+Assumptions!$B$8+Assumptions!$B$7),M620))</f>
        <v/>
      </c>
      <c r="O620" s="21" t="str">
        <f aca="false">IF(N620="","",N620-Assumptions!$D$5)</f>
        <v/>
      </c>
      <c r="P620" s="22"/>
      <c r="Q620" s="22"/>
      <c r="R620" s="18" t="str">
        <f aca="false">IF(Q620="","",Q620*IF(LEFT(L620,7)="Phase 1",Assumptions!$B$11,Assumptions!$B$12))</f>
        <v/>
      </c>
    </row>
    <row r="621" customFormat="false" ht="15" hidden="false" customHeight="true" outlineLevel="0" collapsed="false">
      <c r="C621" s="24"/>
      <c r="F621" s="22"/>
      <c r="G621" s="23"/>
      <c r="H621" s="24"/>
      <c r="J621" s="18" t="str">
        <f aca="false">IF(F621="","",F621*G621)</f>
        <v/>
      </c>
      <c r="K621" s="5" t="str">
        <f aca="false">IF(A621="","",IF(H621&lt;&gt;"",Assumptions!$D$5-H621,IF(C621="","",Assumptions!$D$5-(C621+Assumptions!$B$8))))</f>
        <v/>
      </c>
      <c r="L621" s="5" t="str">
        <f aca="false">IF(K621="","",IF(K621&lt;0,"Phase 1 (unliquidated)",IF(K621&lt;=Assumptions!$B$7,"Phase 1 (recently liquidated)",IF(K621&lt;=Assumptions!$B$6,"Protest required","Deadline passed — litigation only"))))</f>
        <v/>
      </c>
      <c r="M621" s="20" t="str">
        <f aca="false">IF(K621="","",IF(H621&lt;&gt;"",H621+Assumptions!$B$6,C621+Assumptions!$B$8+Assumptions!$B$6))</f>
        <v/>
      </c>
      <c r="N621" s="20" t="str">
        <f aca="false">IF(K621="","",IF(K621&lt;0,IF(H621&lt;&gt;"",H621+Assumptions!$B$7,C621+Assumptions!$B$8+Assumptions!$B$7),M621))</f>
        <v/>
      </c>
      <c r="O621" s="21" t="str">
        <f aca="false">IF(N621="","",N621-Assumptions!$D$5)</f>
        <v/>
      </c>
      <c r="P621" s="22"/>
      <c r="Q621" s="22"/>
      <c r="R621" s="18" t="str">
        <f aca="false">IF(Q621="","",Q621*IF(LEFT(L621,7)="Phase 1",Assumptions!$B$11,Assumptions!$B$12))</f>
        <v/>
      </c>
    </row>
    <row r="622" customFormat="false" ht="15" hidden="false" customHeight="true" outlineLevel="0" collapsed="false">
      <c r="C622" s="24"/>
      <c r="F622" s="22"/>
      <c r="G622" s="23"/>
      <c r="H622" s="24"/>
      <c r="J622" s="18" t="str">
        <f aca="false">IF(F622="","",F622*G622)</f>
        <v/>
      </c>
      <c r="K622" s="5" t="str">
        <f aca="false">IF(A622="","",IF(H622&lt;&gt;"",Assumptions!$D$5-H622,IF(C622="","",Assumptions!$D$5-(C622+Assumptions!$B$8))))</f>
        <v/>
      </c>
      <c r="L622" s="5" t="str">
        <f aca="false">IF(K622="","",IF(K622&lt;0,"Phase 1 (unliquidated)",IF(K622&lt;=Assumptions!$B$7,"Phase 1 (recently liquidated)",IF(K622&lt;=Assumptions!$B$6,"Protest required","Deadline passed — litigation only"))))</f>
        <v/>
      </c>
      <c r="M622" s="20" t="str">
        <f aca="false">IF(K622="","",IF(H622&lt;&gt;"",H622+Assumptions!$B$6,C622+Assumptions!$B$8+Assumptions!$B$6))</f>
        <v/>
      </c>
      <c r="N622" s="20" t="str">
        <f aca="false">IF(K622="","",IF(K622&lt;0,IF(H622&lt;&gt;"",H622+Assumptions!$B$7,C622+Assumptions!$B$8+Assumptions!$B$7),M622))</f>
        <v/>
      </c>
      <c r="O622" s="21" t="str">
        <f aca="false">IF(N622="","",N622-Assumptions!$D$5)</f>
        <v/>
      </c>
      <c r="P622" s="22"/>
      <c r="Q622" s="22"/>
      <c r="R622" s="18" t="str">
        <f aca="false">IF(Q622="","",Q622*IF(LEFT(L622,7)="Phase 1",Assumptions!$B$11,Assumptions!$B$12))</f>
        <v/>
      </c>
    </row>
    <row r="623" customFormat="false" ht="15" hidden="false" customHeight="true" outlineLevel="0" collapsed="false">
      <c r="C623" s="24"/>
      <c r="F623" s="22"/>
      <c r="G623" s="23"/>
      <c r="H623" s="24"/>
      <c r="J623" s="18" t="str">
        <f aca="false">IF(F623="","",F623*G623)</f>
        <v/>
      </c>
      <c r="K623" s="5" t="str">
        <f aca="false">IF(A623="","",IF(H623&lt;&gt;"",Assumptions!$D$5-H623,IF(C623="","",Assumptions!$D$5-(C623+Assumptions!$B$8))))</f>
        <v/>
      </c>
      <c r="L623" s="5" t="str">
        <f aca="false">IF(K623="","",IF(K623&lt;0,"Phase 1 (unliquidated)",IF(K623&lt;=Assumptions!$B$7,"Phase 1 (recently liquidated)",IF(K623&lt;=Assumptions!$B$6,"Protest required","Deadline passed — litigation only"))))</f>
        <v/>
      </c>
      <c r="M623" s="20" t="str">
        <f aca="false">IF(K623="","",IF(H623&lt;&gt;"",H623+Assumptions!$B$6,C623+Assumptions!$B$8+Assumptions!$B$6))</f>
        <v/>
      </c>
      <c r="N623" s="20" t="str">
        <f aca="false">IF(K623="","",IF(K623&lt;0,IF(H623&lt;&gt;"",H623+Assumptions!$B$7,C623+Assumptions!$B$8+Assumptions!$B$7),M623))</f>
        <v/>
      </c>
      <c r="O623" s="21" t="str">
        <f aca="false">IF(N623="","",N623-Assumptions!$D$5)</f>
        <v/>
      </c>
      <c r="P623" s="22"/>
      <c r="Q623" s="22"/>
      <c r="R623" s="18" t="str">
        <f aca="false">IF(Q623="","",Q623*IF(LEFT(L623,7)="Phase 1",Assumptions!$B$11,Assumptions!$B$12))</f>
        <v/>
      </c>
    </row>
    <row r="624" customFormat="false" ht="15" hidden="false" customHeight="true" outlineLevel="0" collapsed="false">
      <c r="C624" s="24"/>
      <c r="F624" s="22"/>
      <c r="G624" s="23"/>
      <c r="H624" s="24"/>
      <c r="J624" s="18" t="str">
        <f aca="false">IF(F624="","",F624*G624)</f>
        <v/>
      </c>
      <c r="K624" s="5" t="str">
        <f aca="false">IF(A624="","",IF(H624&lt;&gt;"",Assumptions!$D$5-H624,IF(C624="","",Assumptions!$D$5-(C624+Assumptions!$B$8))))</f>
        <v/>
      </c>
      <c r="L624" s="5" t="str">
        <f aca="false">IF(K624="","",IF(K624&lt;0,"Phase 1 (unliquidated)",IF(K624&lt;=Assumptions!$B$7,"Phase 1 (recently liquidated)",IF(K624&lt;=Assumptions!$B$6,"Protest required","Deadline passed — litigation only"))))</f>
        <v/>
      </c>
      <c r="M624" s="20" t="str">
        <f aca="false">IF(K624="","",IF(H624&lt;&gt;"",H624+Assumptions!$B$6,C624+Assumptions!$B$8+Assumptions!$B$6))</f>
        <v/>
      </c>
      <c r="N624" s="20" t="str">
        <f aca="false">IF(K624="","",IF(K624&lt;0,IF(H624&lt;&gt;"",H624+Assumptions!$B$7,C624+Assumptions!$B$8+Assumptions!$B$7),M624))</f>
        <v/>
      </c>
      <c r="O624" s="21" t="str">
        <f aca="false">IF(N624="","",N624-Assumptions!$D$5)</f>
        <v/>
      </c>
      <c r="P624" s="22"/>
      <c r="Q624" s="22"/>
      <c r="R624" s="18" t="str">
        <f aca="false">IF(Q624="","",Q624*IF(LEFT(L624,7)="Phase 1",Assumptions!$B$11,Assumptions!$B$12))</f>
        <v/>
      </c>
    </row>
    <row r="625" customFormat="false" ht="15" hidden="false" customHeight="true" outlineLevel="0" collapsed="false">
      <c r="C625" s="24"/>
      <c r="F625" s="22"/>
      <c r="G625" s="23"/>
      <c r="H625" s="24"/>
      <c r="J625" s="18" t="str">
        <f aca="false">IF(F625="","",F625*G625)</f>
        <v/>
      </c>
      <c r="K625" s="5" t="str">
        <f aca="false">IF(A625="","",IF(H625&lt;&gt;"",Assumptions!$D$5-H625,IF(C625="","",Assumptions!$D$5-(C625+Assumptions!$B$8))))</f>
        <v/>
      </c>
      <c r="L625" s="5" t="str">
        <f aca="false">IF(K625="","",IF(K625&lt;0,"Phase 1 (unliquidated)",IF(K625&lt;=Assumptions!$B$7,"Phase 1 (recently liquidated)",IF(K625&lt;=Assumptions!$B$6,"Protest required","Deadline passed — litigation only"))))</f>
        <v/>
      </c>
      <c r="M625" s="20" t="str">
        <f aca="false">IF(K625="","",IF(H625&lt;&gt;"",H625+Assumptions!$B$6,C625+Assumptions!$B$8+Assumptions!$B$6))</f>
        <v/>
      </c>
      <c r="N625" s="20" t="str">
        <f aca="false">IF(K625="","",IF(K625&lt;0,IF(H625&lt;&gt;"",H625+Assumptions!$B$7,C625+Assumptions!$B$8+Assumptions!$B$7),M625))</f>
        <v/>
      </c>
      <c r="O625" s="21" t="str">
        <f aca="false">IF(N625="","",N625-Assumptions!$D$5)</f>
        <v/>
      </c>
      <c r="P625" s="22"/>
      <c r="Q625" s="22"/>
      <c r="R625" s="18" t="str">
        <f aca="false">IF(Q625="","",Q625*IF(LEFT(L625,7)="Phase 1",Assumptions!$B$11,Assumptions!$B$12))</f>
        <v/>
      </c>
    </row>
    <row r="626" customFormat="false" ht="15" hidden="false" customHeight="true" outlineLevel="0" collapsed="false">
      <c r="C626" s="24"/>
      <c r="F626" s="22"/>
      <c r="G626" s="23"/>
      <c r="H626" s="24"/>
      <c r="J626" s="18" t="str">
        <f aca="false">IF(F626="","",F626*G626)</f>
        <v/>
      </c>
      <c r="K626" s="5" t="str">
        <f aca="false">IF(A626="","",IF(H626&lt;&gt;"",Assumptions!$D$5-H626,IF(C626="","",Assumptions!$D$5-(C626+Assumptions!$B$8))))</f>
        <v/>
      </c>
      <c r="L626" s="5" t="str">
        <f aca="false">IF(K626="","",IF(K626&lt;0,"Phase 1 (unliquidated)",IF(K626&lt;=Assumptions!$B$7,"Phase 1 (recently liquidated)",IF(K626&lt;=Assumptions!$B$6,"Protest required","Deadline passed — litigation only"))))</f>
        <v/>
      </c>
      <c r="M626" s="20" t="str">
        <f aca="false">IF(K626="","",IF(H626&lt;&gt;"",H626+Assumptions!$B$6,C626+Assumptions!$B$8+Assumptions!$B$6))</f>
        <v/>
      </c>
      <c r="N626" s="20" t="str">
        <f aca="false">IF(K626="","",IF(K626&lt;0,IF(H626&lt;&gt;"",H626+Assumptions!$B$7,C626+Assumptions!$B$8+Assumptions!$B$7),M626))</f>
        <v/>
      </c>
      <c r="O626" s="21" t="str">
        <f aca="false">IF(N626="","",N626-Assumptions!$D$5)</f>
        <v/>
      </c>
      <c r="P626" s="22"/>
      <c r="Q626" s="22"/>
      <c r="R626" s="18" t="str">
        <f aca="false">IF(Q626="","",Q626*IF(LEFT(L626,7)="Phase 1",Assumptions!$B$11,Assumptions!$B$12))</f>
        <v/>
      </c>
    </row>
    <row r="627" customFormat="false" ht="15" hidden="false" customHeight="true" outlineLevel="0" collapsed="false">
      <c r="C627" s="24"/>
      <c r="F627" s="22"/>
      <c r="G627" s="23"/>
      <c r="H627" s="24"/>
      <c r="J627" s="18" t="str">
        <f aca="false">IF(F627="","",F627*G627)</f>
        <v/>
      </c>
      <c r="K627" s="5" t="str">
        <f aca="false">IF(A627="","",IF(H627&lt;&gt;"",Assumptions!$D$5-H627,IF(C627="","",Assumptions!$D$5-(C627+Assumptions!$B$8))))</f>
        <v/>
      </c>
      <c r="L627" s="5" t="str">
        <f aca="false">IF(K627="","",IF(K627&lt;0,"Phase 1 (unliquidated)",IF(K627&lt;=Assumptions!$B$7,"Phase 1 (recently liquidated)",IF(K627&lt;=Assumptions!$B$6,"Protest required","Deadline passed — litigation only"))))</f>
        <v/>
      </c>
      <c r="M627" s="20" t="str">
        <f aca="false">IF(K627="","",IF(H627&lt;&gt;"",H627+Assumptions!$B$6,C627+Assumptions!$B$8+Assumptions!$B$6))</f>
        <v/>
      </c>
      <c r="N627" s="20" t="str">
        <f aca="false">IF(K627="","",IF(K627&lt;0,IF(H627&lt;&gt;"",H627+Assumptions!$B$7,C627+Assumptions!$B$8+Assumptions!$B$7),M627))</f>
        <v/>
      </c>
      <c r="O627" s="21" t="str">
        <f aca="false">IF(N627="","",N627-Assumptions!$D$5)</f>
        <v/>
      </c>
      <c r="P627" s="22"/>
      <c r="Q627" s="22"/>
      <c r="R627" s="18" t="str">
        <f aca="false">IF(Q627="","",Q627*IF(LEFT(L627,7)="Phase 1",Assumptions!$B$11,Assumptions!$B$12))</f>
        <v/>
      </c>
    </row>
    <row r="628" customFormat="false" ht="15" hidden="false" customHeight="true" outlineLevel="0" collapsed="false">
      <c r="C628" s="24"/>
      <c r="F628" s="22"/>
      <c r="G628" s="23"/>
      <c r="H628" s="24"/>
      <c r="J628" s="18" t="str">
        <f aca="false">IF(F628="","",F628*G628)</f>
        <v/>
      </c>
      <c r="K628" s="5" t="str">
        <f aca="false">IF(A628="","",IF(H628&lt;&gt;"",Assumptions!$D$5-H628,IF(C628="","",Assumptions!$D$5-(C628+Assumptions!$B$8))))</f>
        <v/>
      </c>
      <c r="L628" s="5" t="str">
        <f aca="false">IF(K628="","",IF(K628&lt;0,"Phase 1 (unliquidated)",IF(K628&lt;=Assumptions!$B$7,"Phase 1 (recently liquidated)",IF(K628&lt;=Assumptions!$B$6,"Protest required","Deadline passed — litigation only"))))</f>
        <v/>
      </c>
      <c r="M628" s="20" t="str">
        <f aca="false">IF(K628="","",IF(H628&lt;&gt;"",H628+Assumptions!$B$6,C628+Assumptions!$B$8+Assumptions!$B$6))</f>
        <v/>
      </c>
      <c r="N628" s="20" t="str">
        <f aca="false">IF(K628="","",IF(K628&lt;0,IF(H628&lt;&gt;"",H628+Assumptions!$B$7,C628+Assumptions!$B$8+Assumptions!$B$7),M628))</f>
        <v/>
      </c>
      <c r="O628" s="21" t="str">
        <f aca="false">IF(N628="","",N628-Assumptions!$D$5)</f>
        <v/>
      </c>
      <c r="P628" s="22"/>
      <c r="Q628" s="22"/>
      <c r="R628" s="18" t="str">
        <f aca="false">IF(Q628="","",Q628*IF(LEFT(L628,7)="Phase 1",Assumptions!$B$11,Assumptions!$B$12))</f>
        <v/>
      </c>
    </row>
    <row r="629" customFormat="false" ht="15" hidden="false" customHeight="true" outlineLevel="0" collapsed="false">
      <c r="C629" s="24"/>
      <c r="F629" s="22"/>
      <c r="G629" s="23"/>
      <c r="H629" s="24"/>
      <c r="J629" s="18" t="str">
        <f aca="false">IF(F629="","",F629*G629)</f>
        <v/>
      </c>
      <c r="K629" s="5" t="str">
        <f aca="false">IF(A629="","",IF(H629&lt;&gt;"",Assumptions!$D$5-H629,IF(C629="","",Assumptions!$D$5-(C629+Assumptions!$B$8))))</f>
        <v/>
      </c>
      <c r="L629" s="5" t="str">
        <f aca="false">IF(K629="","",IF(K629&lt;0,"Phase 1 (unliquidated)",IF(K629&lt;=Assumptions!$B$7,"Phase 1 (recently liquidated)",IF(K629&lt;=Assumptions!$B$6,"Protest required","Deadline passed — litigation only"))))</f>
        <v/>
      </c>
      <c r="M629" s="20" t="str">
        <f aca="false">IF(K629="","",IF(H629&lt;&gt;"",H629+Assumptions!$B$6,C629+Assumptions!$B$8+Assumptions!$B$6))</f>
        <v/>
      </c>
      <c r="N629" s="20" t="str">
        <f aca="false">IF(K629="","",IF(K629&lt;0,IF(H629&lt;&gt;"",H629+Assumptions!$B$7,C629+Assumptions!$B$8+Assumptions!$B$7),M629))</f>
        <v/>
      </c>
      <c r="O629" s="21" t="str">
        <f aca="false">IF(N629="","",N629-Assumptions!$D$5)</f>
        <v/>
      </c>
      <c r="P629" s="22"/>
      <c r="Q629" s="22"/>
      <c r="R629" s="18" t="str">
        <f aca="false">IF(Q629="","",Q629*IF(LEFT(L629,7)="Phase 1",Assumptions!$B$11,Assumptions!$B$12))</f>
        <v/>
      </c>
    </row>
    <row r="630" customFormat="false" ht="15" hidden="false" customHeight="true" outlineLevel="0" collapsed="false">
      <c r="C630" s="24"/>
      <c r="F630" s="22"/>
      <c r="G630" s="23"/>
      <c r="H630" s="24"/>
      <c r="J630" s="18" t="str">
        <f aca="false">IF(F630="","",F630*G630)</f>
        <v/>
      </c>
      <c r="K630" s="5" t="str">
        <f aca="false">IF(A630="","",IF(H630&lt;&gt;"",Assumptions!$D$5-H630,IF(C630="","",Assumptions!$D$5-(C630+Assumptions!$B$8))))</f>
        <v/>
      </c>
      <c r="L630" s="5" t="str">
        <f aca="false">IF(K630="","",IF(K630&lt;0,"Phase 1 (unliquidated)",IF(K630&lt;=Assumptions!$B$7,"Phase 1 (recently liquidated)",IF(K630&lt;=Assumptions!$B$6,"Protest required","Deadline passed — litigation only"))))</f>
        <v/>
      </c>
      <c r="M630" s="20" t="str">
        <f aca="false">IF(K630="","",IF(H630&lt;&gt;"",H630+Assumptions!$B$6,C630+Assumptions!$B$8+Assumptions!$B$6))</f>
        <v/>
      </c>
      <c r="N630" s="20" t="str">
        <f aca="false">IF(K630="","",IF(K630&lt;0,IF(H630&lt;&gt;"",H630+Assumptions!$B$7,C630+Assumptions!$B$8+Assumptions!$B$7),M630))</f>
        <v/>
      </c>
      <c r="O630" s="21" t="str">
        <f aca="false">IF(N630="","",N630-Assumptions!$D$5)</f>
        <v/>
      </c>
      <c r="P630" s="22"/>
      <c r="Q630" s="22"/>
      <c r="R630" s="18" t="str">
        <f aca="false">IF(Q630="","",Q630*IF(LEFT(L630,7)="Phase 1",Assumptions!$B$11,Assumptions!$B$12))</f>
        <v/>
      </c>
    </row>
    <row r="631" customFormat="false" ht="15" hidden="false" customHeight="true" outlineLevel="0" collapsed="false">
      <c r="C631" s="24"/>
      <c r="F631" s="22"/>
      <c r="G631" s="23"/>
      <c r="H631" s="24"/>
      <c r="J631" s="18" t="str">
        <f aca="false">IF(F631="","",F631*G631)</f>
        <v/>
      </c>
      <c r="K631" s="5" t="str">
        <f aca="false">IF(A631="","",IF(H631&lt;&gt;"",Assumptions!$D$5-H631,IF(C631="","",Assumptions!$D$5-(C631+Assumptions!$B$8))))</f>
        <v/>
      </c>
      <c r="L631" s="5" t="str">
        <f aca="false">IF(K631="","",IF(K631&lt;0,"Phase 1 (unliquidated)",IF(K631&lt;=Assumptions!$B$7,"Phase 1 (recently liquidated)",IF(K631&lt;=Assumptions!$B$6,"Protest required","Deadline passed — litigation only"))))</f>
        <v/>
      </c>
      <c r="M631" s="20" t="str">
        <f aca="false">IF(K631="","",IF(H631&lt;&gt;"",H631+Assumptions!$B$6,C631+Assumptions!$B$8+Assumptions!$B$6))</f>
        <v/>
      </c>
      <c r="N631" s="20" t="str">
        <f aca="false">IF(K631="","",IF(K631&lt;0,IF(H631&lt;&gt;"",H631+Assumptions!$B$7,C631+Assumptions!$B$8+Assumptions!$B$7),M631))</f>
        <v/>
      </c>
      <c r="O631" s="21" t="str">
        <f aca="false">IF(N631="","",N631-Assumptions!$D$5)</f>
        <v/>
      </c>
      <c r="P631" s="22"/>
      <c r="Q631" s="22"/>
      <c r="R631" s="18" t="str">
        <f aca="false">IF(Q631="","",Q631*IF(LEFT(L631,7)="Phase 1",Assumptions!$B$11,Assumptions!$B$12))</f>
        <v/>
      </c>
    </row>
    <row r="632" customFormat="false" ht="15" hidden="false" customHeight="true" outlineLevel="0" collapsed="false">
      <c r="C632" s="24"/>
      <c r="F632" s="22"/>
      <c r="G632" s="23"/>
      <c r="H632" s="24"/>
      <c r="J632" s="18" t="str">
        <f aca="false">IF(F632="","",F632*G632)</f>
        <v/>
      </c>
      <c r="K632" s="5" t="str">
        <f aca="false">IF(A632="","",IF(H632&lt;&gt;"",Assumptions!$D$5-H632,IF(C632="","",Assumptions!$D$5-(C632+Assumptions!$B$8))))</f>
        <v/>
      </c>
      <c r="L632" s="5" t="str">
        <f aca="false">IF(K632="","",IF(K632&lt;0,"Phase 1 (unliquidated)",IF(K632&lt;=Assumptions!$B$7,"Phase 1 (recently liquidated)",IF(K632&lt;=Assumptions!$B$6,"Protest required","Deadline passed — litigation only"))))</f>
        <v/>
      </c>
      <c r="M632" s="20" t="str">
        <f aca="false">IF(K632="","",IF(H632&lt;&gt;"",H632+Assumptions!$B$6,C632+Assumptions!$B$8+Assumptions!$B$6))</f>
        <v/>
      </c>
      <c r="N632" s="20" t="str">
        <f aca="false">IF(K632="","",IF(K632&lt;0,IF(H632&lt;&gt;"",H632+Assumptions!$B$7,C632+Assumptions!$B$8+Assumptions!$B$7),M632))</f>
        <v/>
      </c>
      <c r="O632" s="21" t="str">
        <f aca="false">IF(N632="","",N632-Assumptions!$D$5)</f>
        <v/>
      </c>
      <c r="P632" s="22"/>
      <c r="Q632" s="22"/>
      <c r="R632" s="18" t="str">
        <f aca="false">IF(Q632="","",Q632*IF(LEFT(L632,7)="Phase 1",Assumptions!$B$11,Assumptions!$B$12))</f>
        <v/>
      </c>
    </row>
    <row r="633" customFormat="false" ht="15" hidden="false" customHeight="true" outlineLevel="0" collapsed="false">
      <c r="C633" s="24"/>
      <c r="F633" s="22"/>
      <c r="G633" s="23"/>
      <c r="H633" s="24"/>
      <c r="J633" s="18" t="str">
        <f aca="false">IF(F633="","",F633*G633)</f>
        <v/>
      </c>
      <c r="K633" s="5" t="str">
        <f aca="false">IF(A633="","",IF(H633&lt;&gt;"",Assumptions!$D$5-H633,IF(C633="","",Assumptions!$D$5-(C633+Assumptions!$B$8))))</f>
        <v/>
      </c>
      <c r="L633" s="5" t="str">
        <f aca="false">IF(K633="","",IF(K633&lt;0,"Phase 1 (unliquidated)",IF(K633&lt;=Assumptions!$B$7,"Phase 1 (recently liquidated)",IF(K633&lt;=Assumptions!$B$6,"Protest required","Deadline passed — litigation only"))))</f>
        <v/>
      </c>
      <c r="M633" s="20" t="str">
        <f aca="false">IF(K633="","",IF(H633&lt;&gt;"",H633+Assumptions!$B$6,C633+Assumptions!$B$8+Assumptions!$B$6))</f>
        <v/>
      </c>
      <c r="N633" s="20" t="str">
        <f aca="false">IF(K633="","",IF(K633&lt;0,IF(H633&lt;&gt;"",H633+Assumptions!$B$7,C633+Assumptions!$B$8+Assumptions!$B$7),M633))</f>
        <v/>
      </c>
      <c r="O633" s="21" t="str">
        <f aca="false">IF(N633="","",N633-Assumptions!$D$5)</f>
        <v/>
      </c>
      <c r="P633" s="22"/>
      <c r="Q633" s="22"/>
      <c r="R633" s="18" t="str">
        <f aca="false">IF(Q633="","",Q633*IF(LEFT(L633,7)="Phase 1",Assumptions!$B$11,Assumptions!$B$12))</f>
        <v/>
      </c>
    </row>
    <row r="634" customFormat="false" ht="15" hidden="false" customHeight="true" outlineLevel="0" collapsed="false">
      <c r="C634" s="24"/>
      <c r="F634" s="22"/>
      <c r="G634" s="23"/>
      <c r="H634" s="24"/>
      <c r="J634" s="18" t="str">
        <f aca="false">IF(F634="","",F634*G634)</f>
        <v/>
      </c>
      <c r="K634" s="5" t="str">
        <f aca="false">IF(A634="","",IF(H634&lt;&gt;"",Assumptions!$D$5-H634,IF(C634="","",Assumptions!$D$5-(C634+Assumptions!$B$8))))</f>
        <v/>
      </c>
      <c r="L634" s="5" t="str">
        <f aca="false">IF(K634="","",IF(K634&lt;0,"Phase 1 (unliquidated)",IF(K634&lt;=Assumptions!$B$7,"Phase 1 (recently liquidated)",IF(K634&lt;=Assumptions!$B$6,"Protest required","Deadline passed — litigation only"))))</f>
        <v/>
      </c>
      <c r="M634" s="20" t="str">
        <f aca="false">IF(K634="","",IF(H634&lt;&gt;"",H634+Assumptions!$B$6,C634+Assumptions!$B$8+Assumptions!$B$6))</f>
        <v/>
      </c>
      <c r="N634" s="20" t="str">
        <f aca="false">IF(K634="","",IF(K634&lt;0,IF(H634&lt;&gt;"",H634+Assumptions!$B$7,C634+Assumptions!$B$8+Assumptions!$B$7),M634))</f>
        <v/>
      </c>
      <c r="O634" s="21" t="str">
        <f aca="false">IF(N634="","",N634-Assumptions!$D$5)</f>
        <v/>
      </c>
      <c r="P634" s="22"/>
      <c r="Q634" s="22"/>
      <c r="R634" s="18" t="str">
        <f aca="false">IF(Q634="","",Q634*IF(LEFT(L634,7)="Phase 1",Assumptions!$B$11,Assumptions!$B$12))</f>
        <v/>
      </c>
    </row>
    <row r="635" customFormat="false" ht="15" hidden="false" customHeight="true" outlineLevel="0" collapsed="false">
      <c r="C635" s="24"/>
      <c r="F635" s="22"/>
      <c r="G635" s="23"/>
      <c r="H635" s="24"/>
      <c r="J635" s="18" t="str">
        <f aca="false">IF(F635="","",F635*G635)</f>
        <v/>
      </c>
      <c r="K635" s="5" t="str">
        <f aca="false">IF(A635="","",IF(H635&lt;&gt;"",Assumptions!$D$5-H635,IF(C635="","",Assumptions!$D$5-(C635+Assumptions!$B$8))))</f>
        <v/>
      </c>
      <c r="L635" s="5" t="str">
        <f aca="false">IF(K635="","",IF(K635&lt;0,"Phase 1 (unliquidated)",IF(K635&lt;=Assumptions!$B$7,"Phase 1 (recently liquidated)",IF(K635&lt;=Assumptions!$B$6,"Protest required","Deadline passed — litigation only"))))</f>
        <v/>
      </c>
      <c r="M635" s="20" t="str">
        <f aca="false">IF(K635="","",IF(H635&lt;&gt;"",H635+Assumptions!$B$6,C635+Assumptions!$B$8+Assumptions!$B$6))</f>
        <v/>
      </c>
      <c r="N635" s="20" t="str">
        <f aca="false">IF(K635="","",IF(K635&lt;0,IF(H635&lt;&gt;"",H635+Assumptions!$B$7,C635+Assumptions!$B$8+Assumptions!$B$7),M635))</f>
        <v/>
      </c>
      <c r="O635" s="21" t="str">
        <f aca="false">IF(N635="","",N635-Assumptions!$D$5)</f>
        <v/>
      </c>
      <c r="P635" s="22"/>
      <c r="Q635" s="22"/>
      <c r="R635" s="18" t="str">
        <f aca="false">IF(Q635="","",Q635*IF(LEFT(L635,7)="Phase 1",Assumptions!$B$11,Assumptions!$B$12))</f>
        <v/>
      </c>
    </row>
    <row r="636" customFormat="false" ht="15" hidden="false" customHeight="true" outlineLevel="0" collapsed="false">
      <c r="C636" s="24"/>
      <c r="F636" s="22"/>
      <c r="G636" s="23"/>
      <c r="H636" s="24"/>
      <c r="J636" s="18" t="str">
        <f aca="false">IF(F636="","",F636*G636)</f>
        <v/>
      </c>
      <c r="K636" s="5" t="str">
        <f aca="false">IF(A636="","",IF(H636&lt;&gt;"",Assumptions!$D$5-H636,IF(C636="","",Assumptions!$D$5-(C636+Assumptions!$B$8))))</f>
        <v/>
      </c>
      <c r="L636" s="5" t="str">
        <f aca="false">IF(K636="","",IF(K636&lt;0,"Phase 1 (unliquidated)",IF(K636&lt;=Assumptions!$B$7,"Phase 1 (recently liquidated)",IF(K636&lt;=Assumptions!$B$6,"Protest required","Deadline passed — litigation only"))))</f>
        <v/>
      </c>
      <c r="M636" s="20" t="str">
        <f aca="false">IF(K636="","",IF(H636&lt;&gt;"",H636+Assumptions!$B$6,C636+Assumptions!$B$8+Assumptions!$B$6))</f>
        <v/>
      </c>
      <c r="N636" s="20" t="str">
        <f aca="false">IF(K636="","",IF(K636&lt;0,IF(H636&lt;&gt;"",H636+Assumptions!$B$7,C636+Assumptions!$B$8+Assumptions!$B$7),M636))</f>
        <v/>
      </c>
      <c r="O636" s="21" t="str">
        <f aca="false">IF(N636="","",N636-Assumptions!$D$5)</f>
        <v/>
      </c>
      <c r="P636" s="22"/>
      <c r="Q636" s="22"/>
      <c r="R636" s="18" t="str">
        <f aca="false">IF(Q636="","",Q636*IF(LEFT(L636,7)="Phase 1",Assumptions!$B$11,Assumptions!$B$12))</f>
        <v/>
      </c>
    </row>
    <row r="637" customFormat="false" ht="15" hidden="false" customHeight="true" outlineLevel="0" collapsed="false">
      <c r="C637" s="24"/>
      <c r="F637" s="22"/>
      <c r="G637" s="23"/>
      <c r="H637" s="24"/>
      <c r="J637" s="18" t="str">
        <f aca="false">IF(F637="","",F637*G637)</f>
        <v/>
      </c>
      <c r="K637" s="5" t="str">
        <f aca="false">IF(A637="","",IF(H637&lt;&gt;"",Assumptions!$D$5-H637,IF(C637="","",Assumptions!$D$5-(C637+Assumptions!$B$8))))</f>
        <v/>
      </c>
      <c r="L637" s="5" t="str">
        <f aca="false">IF(K637="","",IF(K637&lt;0,"Phase 1 (unliquidated)",IF(K637&lt;=Assumptions!$B$7,"Phase 1 (recently liquidated)",IF(K637&lt;=Assumptions!$B$6,"Protest required","Deadline passed — litigation only"))))</f>
        <v/>
      </c>
      <c r="M637" s="20" t="str">
        <f aca="false">IF(K637="","",IF(H637&lt;&gt;"",H637+Assumptions!$B$6,C637+Assumptions!$B$8+Assumptions!$B$6))</f>
        <v/>
      </c>
      <c r="N637" s="20" t="str">
        <f aca="false">IF(K637="","",IF(K637&lt;0,IF(H637&lt;&gt;"",H637+Assumptions!$B$7,C637+Assumptions!$B$8+Assumptions!$B$7),M637))</f>
        <v/>
      </c>
      <c r="O637" s="21" t="str">
        <f aca="false">IF(N637="","",N637-Assumptions!$D$5)</f>
        <v/>
      </c>
      <c r="P637" s="22"/>
      <c r="Q637" s="22"/>
      <c r="R637" s="18" t="str">
        <f aca="false">IF(Q637="","",Q637*IF(LEFT(L637,7)="Phase 1",Assumptions!$B$11,Assumptions!$B$12))</f>
        <v/>
      </c>
    </row>
    <row r="638" customFormat="false" ht="15" hidden="false" customHeight="true" outlineLevel="0" collapsed="false">
      <c r="C638" s="24"/>
      <c r="F638" s="22"/>
      <c r="G638" s="23"/>
      <c r="H638" s="24"/>
      <c r="J638" s="18" t="str">
        <f aca="false">IF(F638="","",F638*G638)</f>
        <v/>
      </c>
      <c r="K638" s="5" t="str">
        <f aca="false">IF(A638="","",IF(H638&lt;&gt;"",Assumptions!$D$5-H638,IF(C638="","",Assumptions!$D$5-(C638+Assumptions!$B$8))))</f>
        <v/>
      </c>
      <c r="L638" s="5" t="str">
        <f aca="false">IF(K638="","",IF(K638&lt;0,"Phase 1 (unliquidated)",IF(K638&lt;=Assumptions!$B$7,"Phase 1 (recently liquidated)",IF(K638&lt;=Assumptions!$B$6,"Protest required","Deadline passed — litigation only"))))</f>
        <v/>
      </c>
      <c r="M638" s="20" t="str">
        <f aca="false">IF(K638="","",IF(H638&lt;&gt;"",H638+Assumptions!$B$6,C638+Assumptions!$B$8+Assumptions!$B$6))</f>
        <v/>
      </c>
      <c r="N638" s="20" t="str">
        <f aca="false">IF(K638="","",IF(K638&lt;0,IF(H638&lt;&gt;"",H638+Assumptions!$B$7,C638+Assumptions!$B$8+Assumptions!$B$7),M638))</f>
        <v/>
      </c>
      <c r="O638" s="21" t="str">
        <f aca="false">IF(N638="","",N638-Assumptions!$D$5)</f>
        <v/>
      </c>
      <c r="P638" s="22"/>
      <c r="Q638" s="22"/>
      <c r="R638" s="18" t="str">
        <f aca="false">IF(Q638="","",Q638*IF(LEFT(L638,7)="Phase 1",Assumptions!$B$11,Assumptions!$B$12))</f>
        <v/>
      </c>
    </row>
    <row r="639" customFormat="false" ht="15" hidden="false" customHeight="true" outlineLevel="0" collapsed="false">
      <c r="C639" s="24"/>
      <c r="F639" s="22"/>
      <c r="G639" s="23"/>
      <c r="H639" s="24"/>
      <c r="J639" s="18" t="str">
        <f aca="false">IF(F639="","",F639*G639)</f>
        <v/>
      </c>
      <c r="K639" s="5" t="str">
        <f aca="false">IF(A639="","",IF(H639&lt;&gt;"",Assumptions!$D$5-H639,IF(C639="","",Assumptions!$D$5-(C639+Assumptions!$B$8))))</f>
        <v/>
      </c>
      <c r="L639" s="5" t="str">
        <f aca="false">IF(K639="","",IF(K639&lt;0,"Phase 1 (unliquidated)",IF(K639&lt;=Assumptions!$B$7,"Phase 1 (recently liquidated)",IF(K639&lt;=Assumptions!$B$6,"Protest required","Deadline passed — litigation only"))))</f>
        <v/>
      </c>
      <c r="M639" s="20" t="str">
        <f aca="false">IF(K639="","",IF(H639&lt;&gt;"",H639+Assumptions!$B$6,C639+Assumptions!$B$8+Assumptions!$B$6))</f>
        <v/>
      </c>
      <c r="N639" s="20" t="str">
        <f aca="false">IF(K639="","",IF(K639&lt;0,IF(H639&lt;&gt;"",H639+Assumptions!$B$7,C639+Assumptions!$B$8+Assumptions!$B$7),M639))</f>
        <v/>
      </c>
      <c r="O639" s="21" t="str">
        <f aca="false">IF(N639="","",N639-Assumptions!$D$5)</f>
        <v/>
      </c>
      <c r="P639" s="22"/>
      <c r="Q639" s="22"/>
      <c r="R639" s="18" t="str">
        <f aca="false">IF(Q639="","",Q639*IF(LEFT(L639,7)="Phase 1",Assumptions!$B$11,Assumptions!$B$12))</f>
        <v/>
      </c>
    </row>
    <row r="640" customFormat="false" ht="15" hidden="false" customHeight="true" outlineLevel="0" collapsed="false">
      <c r="C640" s="24"/>
      <c r="F640" s="22"/>
      <c r="G640" s="23"/>
      <c r="H640" s="24"/>
      <c r="J640" s="18" t="str">
        <f aca="false">IF(F640="","",F640*G640)</f>
        <v/>
      </c>
      <c r="K640" s="5" t="str">
        <f aca="false">IF(A640="","",IF(H640&lt;&gt;"",Assumptions!$D$5-H640,IF(C640="","",Assumptions!$D$5-(C640+Assumptions!$B$8))))</f>
        <v/>
      </c>
      <c r="L640" s="5" t="str">
        <f aca="false">IF(K640="","",IF(K640&lt;0,"Phase 1 (unliquidated)",IF(K640&lt;=Assumptions!$B$7,"Phase 1 (recently liquidated)",IF(K640&lt;=Assumptions!$B$6,"Protest required","Deadline passed — litigation only"))))</f>
        <v/>
      </c>
      <c r="M640" s="20" t="str">
        <f aca="false">IF(K640="","",IF(H640&lt;&gt;"",H640+Assumptions!$B$6,C640+Assumptions!$B$8+Assumptions!$B$6))</f>
        <v/>
      </c>
      <c r="N640" s="20" t="str">
        <f aca="false">IF(K640="","",IF(K640&lt;0,IF(H640&lt;&gt;"",H640+Assumptions!$B$7,C640+Assumptions!$B$8+Assumptions!$B$7),M640))</f>
        <v/>
      </c>
      <c r="O640" s="21" t="str">
        <f aca="false">IF(N640="","",N640-Assumptions!$D$5)</f>
        <v/>
      </c>
      <c r="P640" s="22"/>
      <c r="Q640" s="22"/>
      <c r="R640" s="18" t="str">
        <f aca="false">IF(Q640="","",Q640*IF(LEFT(L640,7)="Phase 1",Assumptions!$B$11,Assumptions!$B$12))</f>
        <v/>
      </c>
    </row>
    <row r="641" customFormat="false" ht="15" hidden="false" customHeight="true" outlineLevel="0" collapsed="false">
      <c r="C641" s="24"/>
      <c r="F641" s="22"/>
      <c r="G641" s="23"/>
      <c r="H641" s="24"/>
      <c r="J641" s="18" t="str">
        <f aca="false">IF(F641="","",F641*G641)</f>
        <v/>
      </c>
      <c r="K641" s="5" t="str">
        <f aca="false">IF(A641="","",IF(H641&lt;&gt;"",Assumptions!$D$5-H641,IF(C641="","",Assumptions!$D$5-(C641+Assumptions!$B$8))))</f>
        <v/>
      </c>
      <c r="L641" s="5" t="str">
        <f aca="false">IF(K641="","",IF(K641&lt;0,"Phase 1 (unliquidated)",IF(K641&lt;=Assumptions!$B$7,"Phase 1 (recently liquidated)",IF(K641&lt;=Assumptions!$B$6,"Protest required","Deadline passed — litigation only"))))</f>
        <v/>
      </c>
      <c r="M641" s="20" t="str">
        <f aca="false">IF(K641="","",IF(H641&lt;&gt;"",H641+Assumptions!$B$6,C641+Assumptions!$B$8+Assumptions!$B$6))</f>
        <v/>
      </c>
      <c r="N641" s="20" t="str">
        <f aca="false">IF(K641="","",IF(K641&lt;0,IF(H641&lt;&gt;"",H641+Assumptions!$B$7,C641+Assumptions!$B$8+Assumptions!$B$7),M641))</f>
        <v/>
      </c>
      <c r="O641" s="21" t="str">
        <f aca="false">IF(N641="","",N641-Assumptions!$D$5)</f>
        <v/>
      </c>
      <c r="P641" s="22"/>
      <c r="Q641" s="22"/>
      <c r="R641" s="18" t="str">
        <f aca="false">IF(Q641="","",Q641*IF(LEFT(L641,7)="Phase 1",Assumptions!$B$11,Assumptions!$B$12))</f>
        <v/>
      </c>
    </row>
    <row r="642" customFormat="false" ht="15" hidden="false" customHeight="true" outlineLevel="0" collapsed="false">
      <c r="C642" s="24"/>
      <c r="F642" s="22"/>
      <c r="G642" s="23"/>
      <c r="H642" s="24"/>
      <c r="J642" s="18" t="str">
        <f aca="false">IF(F642="","",F642*G642)</f>
        <v/>
      </c>
      <c r="K642" s="5" t="str">
        <f aca="false">IF(A642="","",IF(H642&lt;&gt;"",Assumptions!$D$5-H642,IF(C642="","",Assumptions!$D$5-(C642+Assumptions!$B$8))))</f>
        <v/>
      </c>
      <c r="L642" s="5" t="str">
        <f aca="false">IF(K642="","",IF(K642&lt;0,"Phase 1 (unliquidated)",IF(K642&lt;=Assumptions!$B$7,"Phase 1 (recently liquidated)",IF(K642&lt;=Assumptions!$B$6,"Protest required","Deadline passed — litigation only"))))</f>
        <v/>
      </c>
      <c r="M642" s="20" t="str">
        <f aca="false">IF(K642="","",IF(H642&lt;&gt;"",H642+Assumptions!$B$6,C642+Assumptions!$B$8+Assumptions!$B$6))</f>
        <v/>
      </c>
      <c r="N642" s="20" t="str">
        <f aca="false">IF(K642="","",IF(K642&lt;0,IF(H642&lt;&gt;"",H642+Assumptions!$B$7,C642+Assumptions!$B$8+Assumptions!$B$7),M642))</f>
        <v/>
      </c>
      <c r="O642" s="21" t="str">
        <f aca="false">IF(N642="","",N642-Assumptions!$D$5)</f>
        <v/>
      </c>
      <c r="P642" s="22"/>
      <c r="Q642" s="22"/>
      <c r="R642" s="18" t="str">
        <f aca="false">IF(Q642="","",Q642*IF(LEFT(L642,7)="Phase 1",Assumptions!$B$11,Assumptions!$B$12))</f>
        <v/>
      </c>
    </row>
    <row r="643" customFormat="false" ht="15" hidden="false" customHeight="true" outlineLevel="0" collapsed="false">
      <c r="C643" s="24"/>
      <c r="F643" s="22"/>
      <c r="G643" s="23"/>
      <c r="H643" s="24"/>
      <c r="J643" s="18" t="str">
        <f aca="false">IF(F643="","",F643*G643)</f>
        <v/>
      </c>
      <c r="K643" s="5" t="str">
        <f aca="false">IF(A643="","",IF(H643&lt;&gt;"",Assumptions!$D$5-H643,IF(C643="","",Assumptions!$D$5-(C643+Assumptions!$B$8))))</f>
        <v/>
      </c>
      <c r="L643" s="5" t="str">
        <f aca="false">IF(K643="","",IF(K643&lt;0,"Phase 1 (unliquidated)",IF(K643&lt;=Assumptions!$B$7,"Phase 1 (recently liquidated)",IF(K643&lt;=Assumptions!$B$6,"Protest required","Deadline passed — litigation only"))))</f>
        <v/>
      </c>
      <c r="M643" s="20" t="str">
        <f aca="false">IF(K643="","",IF(H643&lt;&gt;"",H643+Assumptions!$B$6,C643+Assumptions!$B$8+Assumptions!$B$6))</f>
        <v/>
      </c>
      <c r="N643" s="20" t="str">
        <f aca="false">IF(K643="","",IF(K643&lt;0,IF(H643&lt;&gt;"",H643+Assumptions!$B$7,C643+Assumptions!$B$8+Assumptions!$B$7),M643))</f>
        <v/>
      </c>
      <c r="O643" s="21" t="str">
        <f aca="false">IF(N643="","",N643-Assumptions!$D$5)</f>
        <v/>
      </c>
      <c r="P643" s="22"/>
      <c r="Q643" s="22"/>
      <c r="R643" s="18" t="str">
        <f aca="false">IF(Q643="","",Q643*IF(LEFT(L643,7)="Phase 1",Assumptions!$B$11,Assumptions!$B$12))</f>
        <v/>
      </c>
    </row>
    <row r="644" customFormat="false" ht="15" hidden="false" customHeight="true" outlineLevel="0" collapsed="false">
      <c r="C644" s="24"/>
      <c r="F644" s="22"/>
      <c r="G644" s="23"/>
      <c r="H644" s="24"/>
      <c r="J644" s="18" t="str">
        <f aca="false">IF(F644="","",F644*G644)</f>
        <v/>
      </c>
      <c r="K644" s="5" t="str">
        <f aca="false">IF(A644="","",IF(H644&lt;&gt;"",Assumptions!$D$5-H644,IF(C644="","",Assumptions!$D$5-(C644+Assumptions!$B$8))))</f>
        <v/>
      </c>
      <c r="L644" s="5" t="str">
        <f aca="false">IF(K644="","",IF(K644&lt;0,"Phase 1 (unliquidated)",IF(K644&lt;=Assumptions!$B$7,"Phase 1 (recently liquidated)",IF(K644&lt;=Assumptions!$B$6,"Protest required","Deadline passed — litigation only"))))</f>
        <v/>
      </c>
      <c r="M644" s="20" t="str">
        <f aca="false">IF(K644="","",IF(H644&lt;&gt;"",H644+Assumptions!$B$6,C644+Assumptions!$B$8+Assumptions!$B$6))</f>
        <v/>
      </c>
      <c r="N644" s="20" t="str">
        <f aca="false">IF(K644="","",IF(K644&lt;0,IF(H644&lt;&gt;"",H644+Assumptions!$B$7,C644+Assumptions!$B$8+Assumptions!$B$7),M644))</f>
        <v/>
      </c>
      <c r="O644" s="21" t="str">
        <f aca="false">IF(N644="","",N644-Assumptions!$D$5)</f>
        <v/>
      </c>
      <c r="P644" s="22"/>
      <c r="Q644" s="22"/>
      <c r="R644" s="18" t="str">
        <f aca="false">IF(Q644="","",Q644*IF(LEFT(L644,7)="Phase 1",Assumptions!$B$11,Assumptions!$B$12))</f>
        <v/>
      </c>
    </row>
    <row r="645" customFormat="false" ht="15" hidden="false" customHeight="true" outlineLevel="0" collapsed="false">
      <c r="C645" s="24"/>
      <c r="F645" s="22"/>
      <c r="G645" s="23"/>
      <c r="H645" s="24"/>
      <c r="J645" s="18" t="str">
        <f aca="false">IF(F645="","",F645*G645)</f>
        <v/>
      </c>
      <c r="K645" s="5" t="str">
        <f aca="false">IF(A645="","",IF(H645&lt;&gt;"",Assumptions!$D$5-H645,IF(C645="","",Assumptions!$D$5-(C645+Assumptions!$B$8))))</f>
        <v/>
      </c>
      <c r="L645" s="5" t="str">
        <f aca="false">IF(K645="","",IF(K645&lt;0,"Phase 1 (unliquidated)",IF(K645&lt;=Assumptions!$B$7,"Phase 1 (recently liquidated)",IF(K645&lt;=Assumptions!$B$6,"Protest required","Deadline passed — litigation only"))))</f>
        <v/>
      </c>
      <c r="M645" s="20" t="str">
        <f aca="false">IF(K645="","",IF(H645&lt;&gt;"",H645+Assumptions!$B$6,C645+Assumptions!$B$8+Assumptions!$B$6))</f>
        <v/>
      </c>
      <c r="N645" s="20" t="str">
        <f aca="false">IF(K645="","",IF(K645&lt;0,IF(H645&lt;&gt;"",H645+Assumptions!$B$7,C645+Assumptions!$B$8+Assumptions!$B$7),M645))</f>
        <v/>
      </c>
      <c r="O645" s="21" t="str">
        <f aca="false">IF(N645="","",N645-Assumptions!$D$5)</f>
        <v/>
      </c>
      <c r="P645" s="22"/>
      <c r="Q645" s="22"/>
      <c r="R645" s="18" t="str">
        <f aca="false">IF(Q645="","",Q645*IF(LEFT(L645,7)="Phase 1",Assumptions!$B$11,Assumptions!$B$12))</f>
        <v/>
      </c>
    </row>
    <row r="646" customFormat="false" ht="15" hidden="false" customHeight="true" outlineLevel="0" collapsed="false">
      <c r="C646" s="24"/>
      <c r="F646" s="22"/>
      <c r="G646" s="23"/>
      <c r="H646" s="24"/>
      <c r="J646" s="18" t="str">
        <f aca="false">IF(F646="","",F646*G646)</f>
        <v/>
      </c>
      <c r="K646" s="5" t="str">
        <f aca="false">IF(A646="","",IF(H646&lt;&gt;"",Assumptions!$D$5-H646,IF(C646="","",Assumptions!$D$5-(C646+Assumptions!$B$8))))</f>
        <v/>
      </c>
      <c r="L646" s="5" t="str">
        <f aca="false">IF(K646="","",IF(K646&lt;0,"Phase 1 (unliquidated)",IF(K646&lt;=Assumptions!$B$7,"Phase 1 (recently liquidated)",IF(K646&lt;=Assumptions!$B$6,"Protest required","Deadline passed — litigation only"))))</f>
        <v/>
      </c>
      <c r="M646" s="20" t="str">
        <f aca="false">IF(K646="","",IF(H646&lt;&gt;"",H646+Assumptions!$B$6,C646+Assumptions!$B$8+Assumptions!$B$6))</f>
        <v/>
      </c>
      <c r="N646" s="20" t="str">
        <f aca="false">IF(K646="","",IF(K646&lt;0,IF(H646&lt;&gt;"",H646+Assumptions!$B$7,C646+Assumptions!$B$8+Assumptions!$B$7),M646))</f>
        <v/>
      </c>
      <c r="O646" s="21" t="str">
        <f aca="false">IF(N646="","",N646-Assumptions!$D$5)</f>
        <v/>
      </c>
      <c r="P646" s="22"/>
      <c r="Q646" s="22"/>
      <c r="R646" s="18" t="str">
        <f aca="false">IF(Q646="","",Q646*IF(LEFT(L646,7)="Phase 1",Assumptions!$B$11,Assumptions!$B$12))</f>
        <v/>
      </c>
    </row>
    <row r="647" customFormat="false" ht="15" hidden="false" customHeight="true" outlineLevel="0" collapsed="false">
      <c r="C647" s="24"/>
      <c r="F647" s="22"/>
      <c r="G647" s="23"/>
      <c r="H647" s="24"/>
      <c r="J647" s="18" t="str">
        <f aca="false">IF(F647="","",F647*G647)</f>
        <v/>
      </c>
      <c r="K647" s="5" t="str">
        <f aca="false">IF(A647="","",IF(H647&lt;&gt;"",Assumptions!$D$5-H647,IF(C647="","",Assumptions!$D$5-(C647+Assumptions!$B$8))))</f>
        <v/>
      </c>
      <c r="L647" s="5" t="str">
        <f aca="false">IF(K647="","",IF(K647&lt;0,"Phase 1 (unliquidated)",IF(K647&lt;=Assumptions!$B$7,"Phase 1 (recently liquidated)",IF(K647&lt;=Assumptions!$B$6,"Protest required","Deadline passed — litigation only"))))</f>
        <v/>
      </c>
      <c r="M647" s="20" t="str">
        <f aca="false">IF(K647="","",IF(H647&lt;&gt;"",H647+Assumptions!$B$6,C647+Assumptions!$B$8+Assumptions!$B$6))</f>
        <v/>
      </c>
      <c r="N647" s="20" t="str">
        <f aca="false">IF(K647="","",IF(K647&lt;0,IF(H647&lt;&gt;"",H647+Assumptions!$B$7,C647+Assumptions!$B$8+Assumptions!$B$7),M647))</f>
        <v/>
      </c>
      <c r="O647" s="21" t="str">
        <f aca="false">IF(N647="","",N647-Assumptions!$D$5)</f>
        <v/>
      </c>
      <c r="P647" s="22"/>
      <c r="Q647" s="22"/>
      <c r="R647" s="18" t="str">
        <f aca="false">IF(Q647="","",Q647*IF(LEFT(L647,7)="Phase 1",Assumptions!$B$11,Assumptions!$B$12))</f>
        <v/>
      </c>
    </row>
    <row r="648" customFormat="false" ht="15" hidden="false" customHeight="true" outlineLevel="0" collapsed="false">
      <c r="C648" s="24"/>
      <c r="F648" s="22"/>
      <c r="G648" s="23"/>
      <c r="H648" s="24"/>
      <c r="J648" s="18" t="str">
        <f aca="false">IF(F648="","",F648*G648)</f>
        <v/>
      </c>
      <c r="K648" s="5" t="str">
        <f aca="false">IF(A648="","",IF(H648&lt;&gt;"",Assumptions!$D$5-H648,IF(C648="","",Assumptions!$D$5-(C648+Assumptions!$B$8))))</f>
        <v/>
      </c>
      <c r="L648" s="5" t="str">
        <f aca="false">IF(K648="","",IF(K648&lt;0,"Phase 1 (unliquidated)",IF(K648&lt;=Assumptions!$B$7,"Phase 1 (recently liquidated)",IF(K648&lt;=Assumptions!$B$6,"Protest required","Deadline passed — litigation only"))))</f>
        <v/>
      </c>
      <c r="M648" s="20" t="str">
        <f aca="false">IF(K648="","",IF(H648&lt;&gt;"",H648+Assumptions!$B$6,C648+Assumptions!$B$8+Assumptions!$B$6))</f>
        <v/>
      </c>
      <c r="N648" s="20" t="str">
        <f aca="false">IF(K648="","",IF(K648&lt;0,IF(H648&lt;&gt;"",H648+Assumptions!$B$7,C648+Assumptions!$B$8+Assumptions!$B$7),M648))</f>
        <v/>
      </c>
      <c r="O648" s="21" t="str">
        <f aca="false">IF(N648="","",N648-Assumptions!$D$5)</f>
        <v/>
      </c>
      <c r="P648" s="22"/>
      <c r="Q648" s="22"/>
      <c r="R648" s="18" t="str">
        <f aca="false">IF(Q648="","",Q648*IF(LEFT(L648,7)="Phase 1",Assumptions!$B$11,Assumptions!$B$12))</f>
        <v/>
      </c>
    </row>
    <row r="649" customFormat="false" ht="15" hidden="false" customHeight="true" outlineLevel="0" collapsed="false">
      <c r="C649" s="24"/>
      <c r="F649" s="22"/>
      <c r="G649" s="23"/>
      <c r="H649" s="24"/>
      <c r="J649" s="18" t="str">
        <f aca="false">IF(F649="","",F649*G649)</f>
        <v/>
      </c>
      <c r="K649" s="5" t="str">
        <f aca="false">IF(A649="","",IF(H649&lt;&gt;"",Assumptions!$D$5-H649,IF(C649="","",Assumptions!$D$5-(C649+Assumptions!$B$8))))</f>
        <v/>
      </c>
      <c r="L649" s="5" t="str">
        <f aca="false">IF(K649="","",IF(K649&lt;0,"Phase 1 (unliquidated)",IF(K649&lt;=Assumptions!$B$7,"Phase 1 (recently liquidated)",IF(K649&lt;=Assumptions!$B$6,"Protest required","Deadline passed — litigation only"))))</f>
        <v/>
      </c>
      <c r="M649" s="20" t="str">
        <f aca="false">IF(K649="","",IF(H649&lt;&gt;"",H649+Assumptions!$B$6,C649+Assumptions!$B$8+Assumptions!$B$6))</f>
        <v/>
      </c>
      <c r="N649" s="20" t="str">
        <f aca="false">IF(K649="","",IF(K649&lt;0,IF(H649&lt;&gt;"",H649+Assumptions!$B$7,C649+Assumptions!$B$8+Assumptions!$B$7),M649))</f>
        <v/>
      </c>
      <c r="O649" s="21" t="str">
        <f aca="false">IF(N649="","",N649-Assumptions!$D$5)</f>
        <v/>
      </c>
      <c r="P649" s="22"/>
      <c r="Q649" s="22"/>
      <c r="R649" s="18" t="str">
        <f aca="false">IF(Q649="","",Q649*IF(LEFT(L649,7)="Phase 1",Assumptions!$B$11,Assumptions!$B$12))</f>
        <v/>
      </c>
    </row>
    <row r="650" customFormat="false" ht="15" hidden="false" customHeight="true" outlineLevel="0" collapsed="false">
      <c r="C650" s="24"/>
      <c r="F650" s="22"/>
      <c r="G650" s="23"/>
      <c r="H650" s="24"/>
      <c r="J650" s="18" t="str">
        <f aca="false">IF(F650="","",F650*G650)</f>
        <v/>
      </c>
      <c r="K650" s="5" t="str">
        <f aca="false">IF(A650="","",IF(H650&lt;&gt;"",Assumptions!$D$5-H650,IF(C650="","",Assumptions!$D$5-(C650+Assumptions!$B$8))))</f>
        <v/>
      </c>
      <c r="L650" s="5" t="str">
        <f aca="false">IF(K650="","",IF(K650&lt;0,"Phase 1 (unliquidated)",IF(K650&lt;=Assumptions!$B$7,"Phase 1 (recently liquidated)",IF(K650&lt;=Assumptions!$B$6,"Protest required","Deadline passed — litigation only"))))</f>
        <v/>
      </c>
      <c r="M650" s="20" t="str">
        <f aca="false">IF(K650="","",IF(H650&lt;&gt;"",H650+Assumptions!$B$6,C650+Assumptions!$B$8+Assumptions!$B$6))</f>
        <v/>
      </c>
      <c r="N650" s="20" t="str">
        <f aca="false">IF(K650="","",IF(K650&lt;0,IF(H650&lt;&gt;"",H650+Assumptions!$B$7,C650+Assumptions!$B$8+Assumptions!$B$7),M650))</f>
        <v/>
      </c>
      <c r="O650" s="21" t="str">
        <f aca="false">IF(N650="","",N650-Assumptions!$D$5)</f>
        <v/>
      </c>
      <c r="P650" s="22"/>
      <c r="Q650" s="22"/>
      <c r="R650" s="18" t="str">
        <f aca="false">IF(Q650="","",Q650*IF(LEFT(L650,7)="Phase 1",Assumptions!$B$11,Assumptions!$B$12))</f>
        <v/>
      </c>
    </row>
    <row r="651" customFormat="false" ht="15" hidden="false" customHeight="true" outlineLevel="0" collapsed="false">
      <c r="C651" s="24"/>
      <c r="F651" s="22"/>
      <c r="G651" s="23"/>
      <c r="H651" s="24"/>
      <c r="J651" s="18" t="str">
        <f aca="false">IF(F651="","",F651*G651)</f>
        <v/>
      </c>
      <c r="K651" s="5" t="str">
        <f aca="false">IF(A651="","",IF(H651&lt;&gt;"",Assumptions!$D$5-H651,IF(C651="","",Assumptions!$D$5-(C651+Assumptions!$B$8))))</f>
        <v/>
      </c>
      <c r="L651" s="5" t="str">
        <f aca="false">IF(K651="","",IF(K651&lt;0,"Phase 1 (unliquidated)",IF(K651&lt;=Assumptions!$B$7,"Phase 1 (recently liquidated)",IF(K651&lt;=Assumptions!$B$6,"Protest required","Deadline passed — litigation only"))))</f>
        <v/>
      </c>
      <c r="M651" s="20" t="str">
        <f aca="false">IF(K651="","",IF(H651&lt;&gt;"",H651+Assumptions!$B$6,C651+Assumptions!$B$8+Assumptions!$B$6))</f>
        <v/>
      </c>
      <c r="N651" s="20" t="str">
        <f aca="false">IF(K651="","",IF(K651&lt;0,IF(H651&lt;&gt;"",H651+Assumptions!$B$7,C651+Assumptions!$B$8+Assumptions!$B$7),M651))</f>
        <v/>
      </c>
      <c r="O651" s="21" t="str">
        <f aca="false">IF(N651="","",N651-Assumptions!$D$5)</f>
        <v/>
      </c>
      <c r="P651" s="22"/>
      <c r="Q651" s="22"/>
      <c r="R651" s="18" t="str">
        <f aca="false">IF(Q651="","",Q651*IF(LEFT(L651,7)="Phase 1",Assumptions!$B$11,Assumptions!$B$12))</f>
        <v/>
      </c>
    </row>
    <row r="652" customFormat="false" ht="15" hidden="false" customHeight="true" outlineLevel="0" collapsed="false">
      <c r="C652" s="24"/>
      <c r="F652" s="22"/>
      <c r="G652" s="23"/>
      <c r="H652" s="24"/>
      <c r="J652" s="18" t="str">
        <f aca="false">IF(F652="","",F652*G652)</f>
        <v/>
      </c>
      <c r="K652" s="5" t="str">
        <f aca="false">IF(A652="","",IF(H652&lt;&gt;"",Assumptions!$D$5-H652,IF(C652="","",Assumptions!$D$5-(C652+Assumptions!$B$8))))</f>
        <v/>
      </c>
      <c r="L652" s="5" t="str">
        <f aca="false">IF(K652="","",IF(K652&lt;0,"Phase 1 (unliquidated)",IF(K652&lt;=Assumptions!$B$7,"Phase 1 (recently liquidated)",IF(K652&lt;=Assumptions!$B$6,"Protest required","Deadline passed — litigation only"))))</f>
        <v/>
      </c>
      <c r="M652" s="20" t="str">
        <f aca="false">IF(K652="","",IF(H652&lt;&gt;"",H652+Assumptions!$B$6,C652+Assumptions!$B$8+Assumptions!$B$6))</f>
        <v/>
      </c>
      <c r="N652" s="20" t="str">
        <f aca="false">IF(K652="","",IF(K652&lt;0,IF(H652&lt;&gt;"",H652+Assumptions!$B$7,C652+Assumptions!$B$8+Assumptions!$B$7),M652))</f>
        <v/>
      </c>
      <c r="O652" s="21" t="str">
        <f aca="false">IF(N652="","",N652-Assumptions!$D$5)</f>
        <v/>
      </c>
      <c r="P652" s="22"/>
      <c r="Q652" s="22"/>
      <c r="R652" s="18" t="str">
        <f aca="false">IF(Q652="","",Q652*IF(LEFT(L652,7)="Phase 1",Assumptions!$B$11,Assumptions!$B$12))</f>
        <v/>
      </c>
    </row>
    <row r="653" customFormat="false" ht="15" hidden="false" customHeight="true" outlineLevel="0" collapsed="false">
      <c r="C653" s="24"/>
      <c r="F653" s="22"/>
      <c r="G653" s="23"/>
      <c r="H653" s="24"/>
      <c r="J653" s="18" t="str">
        <f aca="false">IF(F653="","",F653*G653)</f>
        <v/>
      </c>
      <c r="K653" s="5" t="str">
        <f aca="false">IF(A653="","",IF(H653&lt;&gt;"",Assumptions!$D$5-H653,IF(C653="","",Assumptions!$D$5-(C653+Assumptions!$B$8))))</f>
        <v/>
      </c>
      <c r="L653" s="5" t="str">
        <f aca="false">IF(K653="","",IF(K653&lt;0,"Phase 1 (unliquidated)",IF(K653&lt;=Assumptions!$B$7,"Phase 1 (recently liquidated)",IF(K653&lt;=Assumptions!$B$6,"Protest required","Deadline passed — litigation only"))))</f>
        <v/>
      </c>
      <c r="M653" s="20" t="str">
        <f aca="false">IF(K653="","",IF(H653&lt;&gt;"",H653+Assumptions!$B$6,C653+Assumptions!$B$8+Assumptions!$B$6))</f>
        <v/>
      </c>
      <c r="N653" s="20" t="str">
        <f aca="false">IF(K653="","",IF(K653&lt;0,IF(H653&lt;&gt;"",H653+Assumptions!$B$7,C653+Assumptions!$B$8+Assumptions!$B$7),M653))</f>
        <v/>
      </c>
      <c r="O653" s="21" t="str">
        <f aca="false">IF(N653="","",N653-Assumptions!$D$5)</f>
        <v/>
      </c>
      <c r="P653" s="22"/>
      <c r="Q653" s="22"/>
      <c r="R653" s="18" t="str">
        <f aca="false">IF(Q653="","",Q653*IF(LEFT(L653,7)="Phase 1",Assumptions!$B$11,Assumptions!$B$12))</f>
        <v/>
      </c>
    </row>
    <row r="654" customFormat="false" ht="15" hidden="false" customHeight="true" outlineLevel="0" collapsed="false">
      <c r="C654" s="24"/>
      <c r="F654" s="22"/>
      <c r="G654" s="23"/>
      <c r="H654" s="24"/>
      <c r="J654" s="18" t="str">
        <f aca="false">IF(F654="","",F654*G654)</f>
        <v/>
      </c>
      <c r="K654" s="5" t="str">
        <f aca="false">IF(A654="","",IF(H654&lt;&gt;"",Assumptions!$D$5-H654,IF(C654="","",Assumptions!$D$5-(C654+Assumptions!$B$8))))</f>
        <v/>
      </c>
      <c r="L654" s="5" t="str">
        <f aca="false">IF(K654="","",IF(K654&lt;0,"Phase 1 (unliquidated)",IF(K654&lt;=Assumptions!$B$7,"Phase 1 (recently liquidated)",IF(K654&lt;=Assumptions!$B$6,"Protest required","Deadline passed — litigation only"))))</f>
        <v/>
      </c>
      <c r="M654" s="20" t="str">
        <f aca="false">IF(K654="","",IF(H654&lt;&gt;"",H654+Assumptions!$B$6,C654+Assumptions!$B$8+Assumptions!$B$6))</f>
        <v/>
      </c>
      <c r="N654" s="20" t="str">
        <f aca="false">IF(K654="","",IF(K654&lt;0,IF(H654&lt;&gt;"",H654+Assumptions!$B$7,C654+Assumptions!$B$8+Assumptions!$B$7),M654))</f>
        <v/>
      </c>
      <c r="O654" s="21" t="str">
        <f aca="false">IF(N654="","",N654-Assumptions!$D$5)</f>
        <v/>
      </c>
      <c r="P654" s="22"/>
      <c r="Q654" s="22"/>
      <c r="R654" s="18" t="str">
        <f aca="false">IF(Q654="","",Q654*IF(LEFT(L654,7)="Phase 1",Assumptions!$B$11,Assumptions!$B$12))</f>
        <v/>
      </c>
    </row>
    <row r="655" customFormat="false" ht="15" hidden="false" customHeight="true" outlineLevel="0" collapsed="false">
      <c r="C655" s="24"/>
      <c r="F655" s="22"/>
      <c r="G655" s="23"/>
      <c r="H655" s="24"/>
      <c r="J655" s="18" t="str">
        <f aca="false">IF(F655="","",F655*G655)</f>
        <v/>
      </c>
      <c r="K655" s="5" t="str">
        <f aca="false">IF(A655="","",IF(H655&lt;&gt;"",Assumptions!$D$5-H655,IF(C655="","",Assumptions!$D$5-(C655+Assumptions!$B$8))))</f>
        <v/>
      </c>
      <c r="L655" s="5" t="str">
        <f aca="false">IF(K655="","",IF(K655&lt;0,"Phase 1 (unliquidated)",IF(K655&lt;=Assumptions!$B$7,"Phase 1 (recently liquidated)",IF(K655&lt;=Assumptions!$B$6,"Protest required","Deadline passed — litigation only"))))</f>
        <v/>
      </c>
      <c r="M655" s="20" t="str">
        <f aca="false">IF(K655="","",IF(H655&lt;&gt;"",H655+Assumptions!$B$6,C655+Assumptions!$B$8+Assumptions!$B$6))</f>
        <v/>
      </c>
      <c r="N655" s="20" t="str">
        <f aca="false">IF(K655="","",IF(K655&lt;0,IF(H655&lt;&gt;"",H655+Assumptions!$B$7,C655+Assumptions!$B$8+Assumptions!$B$7),M655))</f>
        <v/>
      </c>
      <c r="O655" s="21" t="str">
        <f aca="false">IF(N655="","",N655-Assumptions!$D$5)</f>
        <v/>
      </c>
      <c r="P655" s="22"/>
      <c r="Q655" s="22"/>
      <c r="R655" s="18" t="str">
        <f aca="false">IF(Q655="","",Q655*IF(LEFT(L655,7)="Phase 1",Assumptions!$B$11,Assumptions!$B$12))</f>
        <v/>
      </c>
    </row>
    <row r="656" customFormat="false" ht="15" hidden="false" customHeight="true" outlineLevel="0" collapsed="false">
      <c r="C656" s="24"/>
      <c r="F656" s="22"/>
      <c r="G656" s="23"/>
      <c r="H656" s="24"/>
      <c r="J656" s="18" t="str">
        <f aca="false">IF(F656="","",F656*G656)</f>
        <v/>
      </c>
      <c r="K656" s="5" t="str">
        <f aca="false">IF(A656="","",IF(H656&lt;&gt;"",Assumptions!$D$5-H656,IF(C656="","",Assumptions!$D$5-(C656+Assumptions!$B$8))))</f>
        <v/>
      </c>
      <c r="L656" s="5" t="str">
        <f aca="false">IF(K656="","",IF(K656&lt;0,"Phase 1 (unliquidated)",IF(K656&lt;=Assumptions!$B$7,"Phase 1 (recently liquidated)",IF(K656&lt;=Assumptions!$B$6,"Protest required","Deadline passed — litigation only"))))</f>
        <v/>
      </c>
      <c r="M656" s="20" t="str">
        <f aca="false">IF(K656="","",IF(H656&lt;&gt;"",H656+Assumptions!$B$6,C656+Assumptions!$B$8+Assumptions!$B$6))</f>
        <v/>
      </c>
      <c r="N656" s="20" t="str">
        <f aca="false">IF(K656="","",IF(K656&lt;0,IF(H656&lt;&gt;"",H656+Assumptions!$B$7,C656+Assumptions!$B$8+Assumptions!$B$7),M656))</f>
        <v/>
      </c>
      <c r="O656" s="21" t="str">
        <f aca="false">IF(N656="","",N656-Assumptions!$D$5)</f>
        <v/>
      </c>
      <c r="P656" s="22"/>
      <c r="Q656" s="22"/>
      <c r="R656" s="18" t="str">
        <f aca="false">IF(Q656="","",Q656*IF(LEFT(L656,7)="Phase 1",Assumptions!$B$11,Assumptions!$B$12))</f>
        <v/>
      </c>
    </row>
    <row r="657" customFormat="false" ht="15" hidden="false" customHeight="true" outlineLevel="0" collapsed="false">
      <c r="C657" s="24"/>
      <c r="F657" s="22"/>
      <c r="G657" s="23"/>
      <c r="H657" s="24"/>
      <c r="J657" s="18" t="str">
        <f aca="false">IF(F657="","",F657*G657)</f>
        <v/>
      </c>
      <c r="K657" s="5" t="str">
        <f aca="false">IF(A657="","",IF(H657&lt;&gt;"",Assumptions!$D$5-H657,IF(C657="","",Assumptions!$D$5-(C657+Assumptions!$B$8))))</f>
        <v/>
      </c>
      <c r="L657" s="5" t="str">
        <f aca="false">IF(K657="","",IF(K657&lt;0,"Phase 1 (unliquidated)",IF(K657&lt;=Assumptions!$B$7,"Phase 1 (recently liquidated)",IF(K657&lt;=Assumptions!$B$6,"Protest required","Deadline passed — litigation only"))))</f>
        <v/>
      </c>
      <c r="M657" s="20" t="str">
        <f aca="false">IF(K657="","",IF(H657&lt;&gt;"",H657+Assumptions!$B$6,C657+Assumptions!$B$8+Assumptions!$B$6))</f>
        <v/>
      </c>
      <c r="N657" s="20" t="str">
        <f aca="false">IF(K657="","",IF(K657&lt;0,IF(H657&lt;&gt;"",H657+Assumptions!$B$7,C657+Assumptions!$B$8+Assumptions!$B$7),M657))</f>
        <v/>
      </c>
      <c r="O657" s="21" t="str">
        <f aca="false">IF(N657="","",N657-Assumptions!$D$5)</f>
        <v/>
      </c>
      <c r="P657" s="22"/>
      <c r="Q657" s="22"/>
      <c r="R657" s="18" t="str">
        <f aca="false">IF(Q657="","",Q657*IF(LEFT(L657,7)="Phase 1",Assumptions!$B$11,Assumptions!$B$12))</f>
        <v/>
      </c>
    </row>
    <row r="658" customFormat="false" ht="15" hidden="false" customHeight="true" outlineLevel="0" collapsed="false">
      <c r="C658" s="24"/>
      <c r="F658" s="22"/>
      <c r="G658" s="23"/>
      <c r="H658" s="24"/>
      <c r="J658" s="18" t="str">
        <f aca="false">IF(F658="","",F658*G658)</f>
        <v/>
      </c>
      <c r="K658" s="5" t="str">
        <f aca="false">IF(A658="","",IF(H658&lt;&gt;"",Assumptions!$D$5-H658,IF(C658="","",Assumptions!$D$5-(C658+Assumptions!$B$8))))</f>
        <v/>
      </c>
      <c r="L658" s="5" t="str">
        <f aca="false">IF(K658="","",IF(K658&lt;0,"Phase 1 (unliquidated)",IF(K658&lt;=Assumptions!$B$7,"Phase 1 (recently liquidated)",IF(K658&lt;=Assumptions!$B$6,"Protest required","Deadline passed — litigation only"))))</f>
        <v/>
      </c>
      <c r="M658" s="20" t="str">
        <f aca="false">IF(K658="","",IF(H658&lt;&gt;"",H658+Assumptions!$B$6,C658+Assumptions!$B$8+Assumptions!$B$6))</f>
        <v/>
      </c>
      <c r="N658" s="20" t="str">
        <f aca="false">IF(K658="","",IF(K658&lt;0,IF(H658&lt;&gt;"",H658+Assumptions!$B$7,C658+Assumptions!$B$8+Assumptions!$B$7),M658))</f>
        <v/>
      </c>
      <c r="O658" s="21" t="str">
        <f aca="false">IF(N658="","",N658-Assumptions!$D$5)</f>
        <v/>
      </c>
      <c r="P658" s="22"/>
      <c r="Q658" s="22"/>
      <c r="R658" s="18" t="str">
        <f aca="false">IF(Q658="","",Q658*IF(LEFT(L658,7)="Phase 1",Assumptions!$B$11,Assumptions!$B$12))</f>
        <v/>
      </c>
    </row>
    <row r="659" customFormat="false" ht="15" hidden="false" customHeight="true" outlineLevel="0" collapsed="false">
      <c r="C659" s="24"/>
      <c r="F659" s="22"/>
      <c r="G659" s="23"/>
      <c r="H659" s="24"/>
      <c r="J659" s="18" t="str">
        <f aca="false">IF(F659="","",F659*G659)</f>
        <v/>
      </c>
      <c r="K659" s="5" t="str">
        <f aca="false">IF(A659="","",IF(H659&lt;&gt;"",Assumptions!$D$5-H659,IF(C659="","",Assumptions!$D$5-(C659+Assumptions!$B$8))))</f>
        <v/>
      </c>
      <c r="L659" s="5" t="str">
        <f aca="false">IF(K659="","",IF(K659&lt;0,"Phase 1 (unliquidated)",IF(K659&lt;=Assumptions!$B$7,"Phase 1 (recently liquidated)",IF(K659&lt;=Assumptions!$B$6,"Protest required","Deadline passed — litigation only"))))</f>
        <v/>
      </c>
      <c r="M659" s="20" t="str">
        <f aca="false">IF(K659="","",IF(H659&lt;&gt;"",H659+Assumptions!$B$6,C659+Assumptions!$B$8+Assumptions!$B$6))</f>
        <v/>
      </c>
      <c r="N659" s="20" t="str">
        <f aca="false">IF(K659="","",IF(K659&lt;0,IF(H659&lt;&gt;"",H659+Assumptions!$B$7,C659+Assumptions!$B$8+Assumptions!$B$7),M659))</f>
        <v/>
      </c>
      <c r="O659" s="21" t="str">
        <f aca="false">IF(N659="","",N659-Assumptions!$D$5)</f>
        <v/>
      </c>
      <c r="P659" s="22"/>
      <c r="Q659" s="22"/>
      <c r="R659" s="18" t="str">
        <f aca="false">IF(Q659="","",Q659*IF(LEFT(L659,7)="Phase 1",Assumptions!$B$11,Assumptions!$B$12))</f>
        <v/>
      </c>
    </row>
    <row r="660" customFormat="false" ht="15" hidden="false" customHeight="true" outlineLevel="0" collapsed="false">
      <c r="C660" s="24"/>
      <c r="F660" s="22"/>
      <c r="G660" s="23"/>
      <c r="H660" s="24"/>
      <c r="J660" s="18" t="str">
        <f aca="false">IF(F660="","",F660*G660)</f>
        <v/>
      </c>
      <c r="K660" s="5" t="str">
        <f aca="false">IF(A660="","",IF(H660&lt;&gt;"",Assumptions!$D$5-H660,IF(C660="","",Assumptions!$D$5-(C660+Assumptions!$B$8))))</f>
        <v/>
      </c>
      <c r="L660" s="5" t="str">
        <f aca="false">IF(K660="","",IF(K660&lt;0,"Phase 1 (unliquidated)",IF(K660&lt;=Assumptions!$B$7,"Phase 1 (recently liquidated)",IF(K660&lt;=Assumptions!$B$6,"Protest required","Deadline passed — litigation only"))))</f>
        <v/>
      </c>
      <c r="M660" s="20" t="str">
        <f aca="false">IF(K660="","",IF(H660&lt;&gt;"",H660+Assumptions!$B$6,C660+Assumptions!$B$8+Assumptions!$B$6))</f>
        <v/>
      </c>
      <c r="N660" s="20" t="str">
        <f aca="false">IF(K660="","",IF(K660&lt;0,IF(H660&lt;&gt;"",H660+Assumptions!$B$7,C660+Assumptions!$B$8+Assumptions!$B$7),M660))</f>
        <v/>
      </c>
      <c r="O660" s="21" t="str">
        <f aca="false">IF(N660="","",N660-Assumptions!$D$5)</f>
        <v/>
      </c>
      <c r="P660" s="22"/>
      <c r="Q660" s="22"/>
      <c r="R660" s="18" t="str">
        <f aca="false">IF(Q660="","",Q660*IF(LEFT(L660,7)="Phase 1",Assumptions!$B$11,Assumptions!$B$12))</f>
        <v/>
      </c>
    </row>
    <row r="661" customFormat="false" ht="15" hidden="false" customHeight="true" outlineLevel="0" collapsed="false">
      <c r="C661" s="24"/>
      <c r="F661" s="22"/>
      <c r="G661" s="23"/>
      <c r="H661" s="24"/>
      <c r="J661" s="18" t="str">
        <f aca="false">IF(F661="","",F661*G661)</f>
        <v/>
      </c>
      <c r="K661" s="5" t="str">
        <f aca="false">IF(A661="","",IF(H661&lt;&gt;"",Assumptions!$D$5-H661,IF(C661="","",Assumptions!$D$5-(C661+Assumptions!$B$8))))</f>
        <v/>
      </c>
      <c r="L661" s="5" t="str">
        <f aca="false">IF(K661="","",IF(K661&lt;0,"Phase 1 (unliquidated)",IF(K661&lt;=Assumptions!$B$7,"Phase 1 (recently liquidated)",IF(K661&lt;=Assumptions!$B$6,"Protest required","Deadline passed — litigation only"))))</f>
        <v/>
      </c>
      <c r="M661" s="20" t="str">
        <f aca="false">IF(K661="","",IF(H661&lt;&gt;"",H661+Assumptions!$B$6,C661+Assumptions!$B$8+Assumptions!$B$6))</f>
        <v/>
      </c>
      <c r="N661" s="20" t="str">
        <f aca="false">IF(K661="","",IF(K661&lt;0,IF(H661&lt;&gt;"",H661+Assumptions!$B$7,C661+Assumptions!$B$8+Assumptions!$B$7),M661))</f>
        <v/>
      </c>
      <c r="O661" s="21" t="str">
        <f aca="false">IF(N661="","",N661-Assumptions!$D$5)</f>
        <v/>
      </c>
      <c r="P661" s="22"/>
      <c r="Q661" s="22"/>
      <c r="R661" s="18" t="str">
        <f aca="false">IF(Q661="","",Q661*IF(LEFT(L661,7)="Phase 1",Assumptions!$B$11,Assumptions!$B$12))</f>
        <v/>
      </c>
    </row>
    <row r="662" customFormat="false" ht="15" hidden="false" customHeight="true" outlineLevel="0" collapsed="false">
      <c r="C662" s="24"/>
      <c r="F662" s="22"/>
      <c r="G662" s="23"/>
      <c r="H662" s="24"/>
      <c r="J662" s="18" t="str">
        <f aca="false">IF(F662="","",F662*G662)</f>
        <v/>
      </c>
      <c r="K662" s="5" t="str">
        <f aca="false">IF(A662="","",IF(H662&lt;&gt;"",Assumptions!$D$5-H662,IF(C662="","",Assumptions!$D$5-(C662+Assumptions!$B$8))))</f>
        <v/>
      </c>
      <c r="L662" s="5" t="str">
        <f aca="false">IF(K662="","",IF(K662&lt;0,"Phase 1 (unliquidated)",IF(K662&lt;=Assumptions!$B$7,"Phase 1 (recently liquidated)",IF(K662&lt;=Assumptions!$B$6,"Protest required","Deadline passed — litigation only"))))</f>
        <v/>
      </c>
      <c r="M662" s="20" t="str">
        <f aca="false">IF(K662="","",IF(H662&lt;&gt;"",H662+Assumptions!$B$6,C662+Assumptions!$B$8+Assumptions!$B$6))</f>
        <v/>
      </c>
      <c r="N662" s="20" t="str">
        <f aca="false">IF(K662="","",IF(K662&lt;0,IF(H662&lt;&gt;"",H662+Assumptions!$B$7,C662+Assumptions!$B$8+Assumptions!$B$7),M662))</f>
        <v/>
      </c>
      <c r="O662" s="21" t="str">
        <f aca="false">IF(N662="","",N662-Assumptions!$D$5)</f>
        <v/>
      </c>
      <c r="P662" s="22"/>
      <c r="Q662" s="22"/>
      <c r="R662" s="18" t="str">
        <f aca="false">IF(Q662="","",Q662*IF(LEFT(L662,7)="Phase 1",Assumptions!$B$11,Assumptions!$B$12))</f>
        <v/>
      </c>
    </row>
    <row r="663" customFormat="false" ht="15" hidden="false" customHeight="true" outlineLevel="0" collapsed="false">
      <c r="C663" s="24"/>
      <c r="F663" s="22"/>
      <c r="G663" s="23"/>
      <c r="H663" s="24"/>
      <c r="J663" s="18" t="str">
        <f aca="false">IF(F663="","",F663*G663)</f>
        <v/>
      </c>
      <c r="K663" s="5" t="str">
        <f aca="false">IF(A663="","",IF(H663&lt;&gt;"",Assumptions!$D$5-H663,IF(C663="","",Assumptions!$D$5-(C663+Assumptions!$B$8))))</f>
        <v/>
      </c>
      <c r="L663" s="5" t="str">
        <f aca="false">IF(K663="","",IF(K663&lt;0,"Phase 1 (unliquidated)",IF(K663&lt;=Assumptions!$B$7,"Phase 1 (recently liquidated)",IF(K663&lt;=Assumptions!$B$6,"Protest required","Deadline passed — litigation only"))))</f>
        <v/>
      </c>
      <c r="M663" s="20" t="str">
        <f aca="false">IF(K663="","",IF(H663&lt;&gt;"",H663+Assumptions!$B$6,C663+Assumptions!$B$8+Assumptions!$B$6))</f>
        <v/>
      </c>
      <c r="N663" s="20" t="str">
        <f aca="false">IF(K663="","",IF(K663&lt;0,IF(H663&lt;&gt;"",H663+Assumptions!$B$7,C663+Assumptions!$B$8+Assumptions!$B$7),M663))</f>
        <v/>
      </c>
      <c r="O663" s="21" t="str">
        <f aca="false">IF(N663="","",N663-Assumptions!$D$5)</f>
        <v/>
      </c>
      <c r="P663" s="22"/>
      <c r="Q663" s="22"/>
      <c r="R663" s="18" t="str">
        <f aca="false">IF(Q663="","",Q663*IF(LEFT(L663,7)="Phase 1",Assumptions!$B$11,Assumptions!$B$12))</f>
        <v/>
      </c>
    </row>
    <row r="664" customFormat="false" ht="15" hidden="false" customHeight="true" outlineLevel="0" collapsed="false">
      <c r="C664" s="24"/>
      <c r="F664" s="22"/>
      <c r="G664" s="23"/>
      <c r="H664" s="24"/>
      <c r="J664" s="18" t="str">
        <f aca="false">IF(F664="","",F664*G664)</f>
        <v/>
      </c>
      <c r="K664" s="5" t="str">
        <f aca="false">IF(A664="","",IF(H664&lt;&gt;"",Assumptions!$D$5-H664,IF(C664="","",Assumptions!$D$5-(C664+Assumptions!$B$8))))</f>
        <v/>
      </c>
      <c r="L664" s="5" t="str">
        <f aca="false">IF(K664="","",IF(K664&lt;0,"Phase 1 (unliquidated)",IF(K664&lt;=Assumptions!$B$7,"Phase 1 (recently liquidated)",IF(K664&lt;=Assumptions!$B$6,"Protest required","Deadline passed — litigation only"))))</f>
        <v/>
      </c>
      <c r="M664" s="20" t="str">
        <f aca="false">IF(K664="","",IF(H664&lt;&gt;"",H664+Assumptions!$B$6,C664+Assumptions!$B$8+Assumptions!$B$6))</f>
        <v/>
      </c>
      <c r="N664" s="20" t="str">
        <f aca="false">IF(K664="","",IF(K664&lt;0,IF(H664&lt;&gt;"",H664+Assumptions!$B$7,C664+Assumptions!$B$8+Assumptions!$B$7),M664))</f>
        <v/>
      </c>
      <c r="O664" s="21" t="str">
        <f aca="false">IF(N664="","",N664-Assumptions!$D$5)</f>
        <v/>
      </c>
      <c r="P664" s="22"/>
      <c r="Q664" s="22"/>
      <c r="R664" s="18" t="str">
        <f aca="false">IF(Q664="","",Q664*IF(LEFT(L664,7)="Phase 1",Assumptions!$B$11,Assumptions!$B$12))</f>
        <v/>
      </c>
    </row>
    <row r="665" customFormat="false" ht="15" hidden="false" customHeight="true" outlineLevel="0" collapsed="false">
      <c r="C665" s="24"/>
      <c r="F665" s="22"/>
      <c r="G665" s="23"/>
      <c r="H665" s="24"/>
      <c r="J665" s="18" t="str">
        <f aca="false">IF(F665="","",F665*G665)</f>
        <v/>
      </c>
      <c r="K665" s="5" t="str">
        <f aca="false">IF(A665="","",IF(H665&lt;&gt;"",Assumptions!$D$5-H665,IF(C665="","",Assumptions!$D$5-(C665+Assumptions!$B$8))))</f>
        <v/>
      </c>
      <c r="L665" s="5" t="str">
        <f aca="false">IF(K665="","",IF(K665&lt;0,"Phase 1 (unliquidated)",IF(K665&lt;=Assumptions!$B$7,"Phase 1 (recently liquidated)",IF(K665&lt;=Assumptions!$B$6,"Protest required","Deadline passed — litigation only"))))</f>
        <v/>
      </c>
      <c r="M665" s="20" t="str">
        <f aca="false">IF(K665="","",IF(H665&lt;&gt;"",H665+Assumptions!$B$6,C665+Assumptions!$B$8+Assumptions!$B$6))</f>
        <v/>
      </c>
      <c r="N665" s="20" t="str">
        <f aca="false">IF(K665="","",IF(K665&lt;0,IF(H665&lt;&gt;"",H665+Assumptions!$B$7,C665+Assumptions!$B$8+Assumptions!$B$7),M665))</f>
        <v/>
      </c>
      <c r="O665" s="21" t="str">
        <f aca="false">IF(N665="","",N665-Assumptions!$D$5)</f>
        <v/>
      </c>
      <c r="P665" s="22"/>
      <c r="Q665" s="22"/>
      <c r="R665" s="18" t="str">
        <f aca="false">IF(Q665="","",Q665*IF(LEFT(L665,7)="Phase 1",Assumptions!$B$11,Assumptions!$B$12))</f>
        <v/>
      </c>
    </row>
    <row r="666" customFormat="false" ht="15" hidden="false" customHeight="true" outlineLevel="0" collapsed="false">
      <c r="C666" s="24"/>
      <c r="F666" s="22"/>
      <c r="G666" s="23"/>
      <c r="H666" s="24"/>
      <c r="J666" s="18" t="str">
        <f aca="false">IF(F666="","",F666*G666)</f>
        <v/>
      </c>
      <c r="K666" s="5" t="str">
        <f aca="false">IF(A666="","",IF(H666&lt;&gt;"",Assumptions!$D$5-H666,IF(C666="","",Assumptions!$D$5-(C666+Assumptions!$B$8))))</f>
        <v/>
      </c>
      <c r="L666" s="5" t="str">
        <f aca="false">IF(K666="","",IF(K666&lt;0,"Phase 1 (unliquidated)",IF(K666&lt;=Assumptions!$B$7,"Phase 1 (recently liquidated)",IF(K666&lt;=Assumptions!$B$6,"Protest required","Deadline passed — litigation only"))))</f>
        <v/>
      </c>
      <c r="M666" s="20" t="str">
        <f aca="false">IF(K666="","",IF(H666&lt;&gt;"",H666+Assumptions!$B$6,C666+Assumptions!$B$8+Assumptions!$B$6))</f>
        <v/>
      </c>
      <c r="N666" s="20" t="str">
        <f aca="false">IF(K666="","",IF(K666&lt;0,IF(H666&lt;&gt;"",H666+Assumptions!$B$7,C666+Assumptions!$B$8+Assumptions!$B$7),M666))</f>
        <v/>
      </c>
      <c r="O666" s="21" t="str">
        <f aca="false">IF(N666="","",N666-Assumptions!$D$5)</f>
        <v/>
      </c>
      <c r="P666" s="22"/>
      <c r="Q666" s="22"/>
      <c r="R666" s="18" t="str">
        <f aca="false">IF(Q666="","",Q666*IF(LEFT(L666,7)="Phase 1",Assumptions!$B$11,Assumptions!$B$12))</f>
        <v/>
      </c>
    </row>
    <row r="667" customFormat="false" ht="15" hidden="false" customHeight="true" outlineLevel="0" collapsed="false">
      <c r="C667" s="24"/>
      <c r="F667" s="22"/>
      <c r="G667" s="23"/>
      <c r="H667" s="24"/>
      <c r="J667" s="18" t="str">
        <f aca="false">IF(F667="","",F667*G667)</f>
        <v/>
      </c>
      <c r="K667" s="5" t="str">
        <f aca="false">IF(A667="","",IF(H667&lt;&gt;"",Assumptions!$D$5-H667,IF(C667="","",Assumptions!$D$5-(C667+Assumptions!$B$8))))</f>
        <v/>
      </c>
      <c r="L667" s="5" t="str">
        <f aca="false">IF(K667="","",IF(K667&lt;0,"Phase 1 (unliquidated)",IF(K667&lt;=Assumptions!$B$7,"Phase 1 (recently liquidated)",IF(K667&lt;=Assumptions!$B$6,"Protest required","Deadline passed — litigation only"))))</f>
        <v/>
      </c>
      <c r="M667" s="20" t="str">
        <f aca="false">IF(K667="","",IF(H667&lt;&gt;"",H667+Assumptions!$B$6,C667+Assumptions!$B$8+Assumptions!$B$6))</f>
        <v/>
      </c>
      <c r="N667" s="20" t="str">
        <f aca="false">IF(K667="","",IF(K667&lt;0,IF(H667&lt;&gt;"",H667+Assumptions!$B$7,C667+Assumptions!$B$8+Assumptions!$B$7),M667))</f>
        <v/>
      </c>
      <c r="O667" s="21" t="str">
        <f aca="false">IF(N667="","",N667-Assumptions!$D$5)</f>
        <v/>
      </c>
      <c r="P667" s="22"/>
      <c r="Q667" s="22"/>
      <c r="R667" s="18" t="str">
        <f aca="false">IF(Q667="","",Q667*IF(LEFT(L667,7)="Phase 1",Assumptions!$B$11,Assumptions!$B$12))</f>
        <v/>
      </c>
    </row>
    <row r="668" customFormat="false" ht="15" hidden="false" customHeight="true" outlineLevel="0" collapsed="false">
      <c r="C668" s="24"/>
      <c r="F668" s="22"/>
      <c r="G668" s="23"/>
      <c r="H668" s="24"/>
      <c r="J668" s="18" t="str">
        <f aca="false">IF(F668="","",F668*G668)</f>
        <v/>
      </c>
      <c r="K668" s="5" t="str">
        <f aca="false">IF(A668="","",IF(H668&lt;&gt;"",Assumptions!$D$5-H668,IF(C668="","",Assumptions!$D$5-(C668+Assumptions!$B$8))))</f>
        <v/>
      </c>
      <c r="L668" s="5" t="str">
        <f aca="false">IF(K668="","",IF(K668&lt;0,"Phase 1 (unliquidated)",IF(K668&lt;=Assumptions!$B$7,"Phase 1 (recently liquidated)",IF(K668&lt;=Assumptions!$B$6,"Protest required","Deadline passed — litigation only"))))</f>
        <v/>
      </c>
      <c r="M668" s="20" t="str">
        <f aca="false">IF(K668="","",IF(H668&lt;&gt;"",H668+Assumptions!$B$6,C668+Assumptions!$B$8+Assumptions!$B$6))</f>
        <v/>
      </c>
      <c r="N668" s="20" t="str">
        <f aca="false">IF(K668="","",IF(K668&lt;0,IF(H668&lt;&gt;"",H668+Assumptions!$B$7,C668+Assumptions!$B$8+Assumptions!$B$7),M668))</f>
        <v/>
      </c>
      <c r="O668" s="21" t="str">
        <f aca="false">IF(N668="","",N668-Assumptions!$D$5)</f>
        <v/>
      </c>
      <c r="P668" s="22"/>
      <c r="Q668" s="22"/>
      <c r="R668" s="18" t="str">
        <f aca="false">IF(Q668="","",Q668*IF(LEFT(L668,7)="Phase 1",Assumptions!$B$11,Assumptions!$B$12))</f>
        <v/>
      </c>
    </row>
    <row r="669" customFormat="false" ht="15" hidden="false" customHeight="true" outlineLevel="0" collapsed="false">
      <c r="C669" s="24"/>
      <c r="F669" s="22"/>
      <c r="G669" s="23"/>
      <c r="H669" s="24"/>
      <c r="J669" s="18" t="str">
        <f aca="false">IF(F669="","",F669*G669)</f>
        <v/>
      </c>
      <c r="K669" s="5" t="str">
        <f aca="false">IF(A669="","",IF(H669&lt;&gt;"",Assumptions!$D$5-H669,IF(C669="","",Assumptions!$D$5-(C669+Assumptions!$B$8))))</f>
        <v/>
      </c>
      <c r="L669" s="5" t="str">
        <f aca="false">IF(K669="","",IF(K669&lt;0,"Phase 1 (unliquidated)",IF(K669&lt;=Assumptions!$B$7,"Phase 1 (recently liquidated)",IF(K669&lt;=Assumptions!$B$6,"Protest required","Deadline passed — litigation only"))))</f>
        <v/>
      </c>
      <c r="M669" s="20" t="str">
        <f aca="false">IF(K669="","",IF(H669&lt;&gt;"",H669+Assumptions!$B$6,C669+Assumptions!$B$8+Assumptions!$B$6))</f>
        <v/>
      </c>
      <c r="N669" s="20" t="str">
        <f aca="false">IF(K669="","",IF(K669&lt;0,IF(H669&lt;&gt;"",H669+Assumptions!$B$7,C669+Assumptions!$B$8+Assumptions!$B$7),M669))</f>
        <v/>
      </c>
      <c r="O669" s="21" t="str">
        <f aca="false">IF(N669="","",N669-Assumptions!$D$5)</f>
        <v/>
      </c>
      <c r="P669" s="22"/>
      <c r="Q669" s="22"/>
      <c r="R669" s="18" t="str">
        <f aca="false">IF(Q669="","",Q669*IF(LEFT(L669,7)="Phase 1",Assumptions!$B$11,Assumptions!$B$12))</f>
        <v/>
      </c>
    </row>
    <row r="670" customFormat="false" ht="15" hidden="false" customHeight="true" outlineLevel="0" collapsed="false">
      <c r="C670" s="24"/>
      <c r="F670" s="22"/>
      <c r="G670" s="23"/>
      <c r="H670" s="24"/>
      <c r="J670" s="18" t="str">
        <f aca="false">IF(F670="","",F670*G670)</f>
        <v/>
      </c>
      <c r="K670" s="5" t="str">
        <f aca="false">IF(A670="","",IF(H670&lt;&gt;"",Assumptions!$D$5-H670,IF(C670="","",Assumptions!$D$5-(C670+Assumptions!$B$8))))</f>
        <v/>
      </c>
      <c r="L670" s="5" t="str">
        <f aca="false">IF(K670="","",IF(K670&lt;0,"Phase 1 (unliquidated)",IF(K670&lt;=Assumptions!$B$7,"Phase 1 (recently liquidated)",IF(K670&lt;=Assumptions!$B$6,"Protest required","Deadline passed — litigation only"))))</f>
        <v/>
      </c>
      <c r="M670" s="20" t="str">
        <f aca="false">IF(K670="","",IF(H670&lt;&gt;"",H670+Assumptions!$B$6,C670+Assumptions!$B$8+Assumptions!$B$6))</f>
        <v/>
      </c>
      <c r="N670" s="20" t="str">
        <f aca="false">IF(K670="","",IF(K670&lt;0,IF(H670&lt;&gt;"",H670+Assumptions!$B$7,C670+Assumptions!$B$8+Assumptions!$B$7),M670))</f>
        <v/>
      </c>
      <c r="O670" s="21" t="str">
        <f aca="false">IF(N670="","",N670-Assumptions!$D$5)</f>
        <v/>
      </c>
      <c r="P670" s="22"/>
      <c r="Q670" s="22"/>
      <c r="R670" s="18" t="str">
        <f aca="false">IF(Q670="","",Q670*IF(LEFT(L670,7)="Phase 1",Assumptions!$B$11,Assumptions!$B$12))</f>
        <v/>
      </c>
    </row>
    <row r="671" customFormat="false" ht="15" hidden="false" customHeight="true" outlineLevel="0" collapsed="false">
      <c r="C671" s="24"/>
      <c r="F671" s="22"/>
      <c r="G671" s="23"/>
      <c r="H671" s="24"/>
      <c r="J671" s="18" t="str">
        <f aca="false">IF(F671="","",F671*G671)</f>
        <v/>
      </c>
      <c r="K671" s="5" t="str">
        <f aca="false">IF(A671="","",IF(H671&lt;&gt;"",Assumptions!$D$5-H671,IF(C671="","",Assumptions!$D$5-(C671+Assumptions!$B$8))))</f>
        <v/>
      </c>
      <c r="L671" s="5" t="str">
        <f aca="false">IF(K671="","",IF(K671&lt;0,"Phase 1 (unliquidated)",IF(K671&lt;=Assumptions!$B$7,"Phase 1 (recently liquidated)",IF(K671&lt;=Assumptions!$B$6,"Protest required","Deadline passed — litigation only"))))</f>
        <v/>
      </c>
      <c r="M671" s="20" t="str">
        <f aca="false">IF(K671="","",IF(H671&lt;&gt;"",H671+Assumptions!$B$6,C671+Assumptions!$B$8+Assumptions!$B$6))</f>
        <v/>
      </c>
      <c r="N671" s="20" t="str">
        <f aca="false">IF(K671="","",IF(K671&lt;0,IF(H671&lt;&gt;"",H671+Assumptions!$B$7,C671+Assumptions!$B$8+Assumptions!$B$7),M671))</f>
        <v/>
      </c>
      <c r="O671" s="21" t="str">
        <f aca="false">IF(N671="","",N671-Assumptions!$D$5)</f>
        <v/>
      </c>
      <c r="P671" s="22"/>
      <c r="Q671" s="22"/>
      <c r="R671" s="18" t="str">
        <f aca="false">IF(Q671="","",Q671*IF(LEFT(L671,7)="Phase 1",Assumptions!$B$11,Assumptions!$B$12))</f>
        <v/>
      </c>
    </row>
    <row r="672" customFormat="false" ht="15" hidden="false" customHeight="true" outlineLevel="0" collapsed="false">
      <c r="C672" s="24"/>
      <c r="F672" s="22"/>
      <c r="G672" s="23"/>
      <c r="H672" s="24"/>
      <c r="J672" s="18" t="str">
        <f aca="false">IF(F672="","",F672*G672)</f>
        <v/>
      </c>
      <c r="K672" s="5" t="str">
        <f aca="false">IF(A672="","",IF(H672&lt;&gt;"",Assumptions!$D$5-H672,IF(C672="","",Assumptions!$D$5-(C672+Assumptions!$B$8))))</f>
        <v/>
      </c>
      <c r="L672" s="5" t="str">
        <f aca="false">IF(K672="","",IF(K672&lt;0,"Phase 1 (unliquidated)",IF(K672&lt;=Assumptions!$B$7,"Phase 1 (recently liquidated)",IF(K672&lt;=Assumptions!$B$6,"Protest required","Deadline passed — litigation only"))))</f>
        <v/>
      </c>
      <c r="M672" s="20" t="str">
        <f aca="false">IF(K672="","",IF(H672&lt;&gt;"",H672+Assumptions!$B$6,C672+Assumptions!$B$8+Assumptions!$B$6))</f>
        <v/>
      </c>
      <c r="N672" s="20" t="str">
        <f aca="false">IF(K672="","",IF(K672&lt;0,IF(H672&lt;&gt;"",H672+Assumptions!$B$7,C672+Assumptions!$B$8+Assumptions!$B$7),M672))</f>
        <v/>
      </c>
      <c r="O672" s="21" t="str">
        <f aca="false">IF(N672="","",N672-Assumptions!$D$5)</f>
        <v/>
      </c>
      <c r="P672" s="22"/>
      <c r="Q672" s="22"/>
      <c r="R672" s="18" t="str">
        <f aca="false">IF(Q672="","",Q672*IF(LEFT(L672,7)="Phase 1",Assumptions!$B$11,Assumptions!$B$12))</f>
        <v/>
      </c>
    </row>
    <row r="673" customFormat="false" ht="15" hidden="false" customHeight="true" outlineLevel="0" collapsed="false">
      <c r="C673" s="24"/>
      <c r="F673" s="22"/>
      <c r="G673" s="23"/>
      <c r="H673" s="24"/>
      <c r="J673" s="18" t="str">
        <f aca="false">IF(F673="","",F673*G673)</f>
        <v/>
      </c>
      <c r="K673" s="5" t="str">
        <f aca="false">IF(A673="","",IF(H673&lt;&gt;"",Assumptions!$D$5-H673,IF(C673="","",Assumptions!$D$5-(C673+Assumptions!$B$8))))</f>
        <v/>
      </c>
      <c r="L673" s="5" t="str">
        <f aca="false">IF(K673="","",IF(K673&lt;0,"Phase 1 (unliquidated)",IF(K673&lt;=Assumptions!$B$7,"Phase 1 (recently liquidated)",IF(K673&lt;=Assumptions!$B$6,"Protest required","Deadline passed — litigation only"))))</f>
        <v/>
      </c>
      <c r="M673" s="20" t="str">
        <f aca="false">IF(K673="","",IF(H673&lt;&gt;"",H673+Assumptions!$B$6,C673+Assumptions!$B$8+Assumptions!$B$6))</f>
        <v/>
      </c>
      <c r="N673" s="20" t="str">
        <f aca="false">IF(K673="","",IF(K673&lt;0,IF(H673&lt;&gt;"",H673+Assumptions!$B$7,C673+Assumptions!$B$8+Assumptions!$B$7),M673))</f>
        <v/>
      </c>
      <c r="O673" s="21" t="str">
        <f aca="false">IF(N673="","",N673-Assumptions!$D$5)</f>
        <v/>
      </c>
      <c r="P673" s="22"/>
      <c r="Q673" s="22"/>
      <c r="R673" s="18" t="str">
        <f aca="false">IF(Q673="","",Q673*IF(LEFT(L673,7)="Phase 1",Assumptions!$B$11,Assumptions!$B$12))</f>
        <v/>
      </c>
    </row>
    <row r="674" customFormat="false" ht="15" hidden="false" customHeight="true" outlineLevel="0" collapsed="false">
      <c r="C674" s="24"/>
      <c r="F674" s="22"/>
      <c r="G674" s="23"/>
      <c r="H674" s="24"/>
      <c r="J674" s="18" t="str">
        <f aca="false">IF(F674="","",F674*G674)</f>
        <v/>
      </c>
      <c r="K674" s="5" t="str">
        <f aca="false">IF(A674="","",IF(H674&lt;&gt;"",Assumptions!$D$5-H674,IF(C674="","",Assumptions!$D$5-(C674+Assumptions!$B$8))))</f>
        <v/>
      </c>
      <c r="L674" s="5" t="str">
        <f aca="false">IF(K674="","",IF(K674&lt;0,"Phase 1 (unliquidated)",IF(K674&lt;=Assumptions!$B$7,"Phase 1 (recently liquidated)",IF(K674&lt;=Assumptions!$B$6,"Protest required","Deadline passed — litigation only"))))</f>
        <v/>
      </c>
      <c r="M674" s="20" t="str">
        <f aca="false">IF(K674="","",IF(H674&lt;&gt;"",H674+Assumptions!$B$6,C674+Assumptions!$B$8+Assumptions!$B$6))</f>
        <v/>
      </c>
      <c r="N674" s="20" t="str">
        <f aca="false">IF(K674="","",IF(K674&lt;0,IF(H674&lt;&gt;"",H674+Assumptions!$B$7,C674+Assumptions!$B$8+Assumptions!$B$7),M674))</f>
        <v/>
      </c>
      <c r="O674" s="21" t="str">
        <f aca="false">IF(N674="","",N674-Assumptions!$D$5)</f>
        <v/>
      </c>
      <c r="P674" s="22"/>
      <c r="Q674" s="22"/>
      <c r="R674" s="18" t="str">
        <f aca="false">IF(Q674="","",Q674*IF(LEFT(L674,7)="Phase 1",Assumptions!$B$11,Assumptions!$B$12))</f>
        <v/>
      </c>
    </row>
    <row r="675" customFormat="false" ht="15" hidden="false" customHeight="true" outlineLevel="0" collapsed="false">
      <c r="C675" s="24"/>
      <c r="F675" s="22"/>
      <c r="G675" s="23"/>
      <c r="H675" s="24"/>
      <c r="J675" s="18" t="str">
        <f aca="false">IF(F675="","",F675*G675)</f>
        <v/>
      </c>
      <c r="K675" s="5" t="str">
        <f aca="false">IF(A675="","",IF(H675&lt;&gt;"",Assumptions!$D$5-H675,IF(C675="","",Assumptions!$D$5-(C675+Assumptions!$B$8))))</f>
        <v/>
      </c>
      <c r="L675" s="5" t="str">
        <f aca="false">IF(K675="","",IF(K675&lt;0,"Phase 1 (unliquidated)",IF(K675&lt;=Assumptions!$B$7,"Phase 1 (recently liquidated)",IF(K675&lt;=Assumptions!$B$6,"Protest required","Deadline passed — litigation only"))))</f>
        <v/>
      </c>
      <c r="M675" s="20" t="str">
        <f aca="false">IF(K675="","",IF(H675&lt;&gt;"",H675+Assumptions!$B$6,C675+Assumptions!$B$8+Assumptions!$B$6))</f>
        <v/>
      </c>
      <c r="N675" s="20" t="str">
        <f aca="false">IF(K675="","",IF(K675&lt;0,IF(H675&lt;&gt;"",H675+Assumptions!$B$7,C675+Assumptions!$B$8+Assumptions!$B$7),M675))</f>
        <v/>
      </c>
      <c r="O675" s="21" t="str">
        <f aca="false">IF(N675="","",N675-Assumptions!$D$5)</f>
        <v/>
      </c>
      <c r="P675" s="22"/>
      <c r="Q675" s="22"/>
      <c r="R675" s="18" t="str">
        <f aca="false">IF(Q675="","",Q675*IF(LEFT(L675,7)="Phase 1",Assumptions!$B$11,Assumptions!$B$12))</f>
        <v/>
      </c>
    </row>
    <row r="676" customFormat="false" ht="15" hidden="false" customHeight="true" outlineLevel="0" collapsed="false">
      <c r="C676" s="24"/>
      <c r="F676" s="22"/>
      <c r="G676" s="23"/>
      <c r="H676" s="24"/>
      <c r="J676" s="18" t="str">
        <f aca="false">IF(F676="","",F676*G676)</f>
        <v/>
      </c>
      <c r="K676" s="5" t="str">
        <f aca="false">IF(A676="","",IF(H676&lt;&gt;"",Assumptions!$D$5-H676,IF(C676="","",Assumptions!$D$5-(C676+Assumptions!$B$8))))</f>
        <v/>
      </c>
      <c r="L676" s="5" t="str">
        <f aca="false">IF(K676="","",IF(K676&lt;0,"Phase 1 (unliquidated)",IF(K676&lt;=Assumptions!$B$7,"Phase 1 (recently liquidated)",IF(K676&lt;=Assumptions!$B$6,"Protest required","Deadline passed — litigation only"))))</f>
        <v/>
      </c>
      <c r="M676" s="20" t="str">
        <f aca="false">IF(K676="","",IF(H676&lt;&gt;"",H676+Assumptions!$B$6,C676+Assumptions!$B$8+Assumptions!$B$6))</f>
        <v/>
      </c>
      <c r="N676" s="20" t="str">
        <f aca="false">IF(K676="","",IF(K676&lt;0,IF(H676&lt;&gt;"",H676+Assumptions!$B$7,C676+Assumptions!$B$8+Assumptions!$B$7),M676))</f>
        <v/>
      </c>
      <c r="O676" s="21" t="str">
        <f aca="false">IF(N676="","",N676-Assumptions!$D$5)</f>
        <v/>
      </c>
      <c r="P676" s="22"/>
      <c r="Q676" s="22"/>
      <c r="R676" s="18" t="str">
        <f aca="false">IF(Q676="","",Q676*IF(LEFT(L676,7)="Phase 1",Assumptions!$B$11,Assumptions!$B$12))</f>
        <v/>
      </c>
    </row>
    <row r="677" customFormat="false" ht="15" hidden="false" customHeight="true" outlineLevel="0" collapsed="false">
      <c r="C677" s="24"/>
      <c r="F677" s="22"/>
      <c r="G677" s="23"/>
      <c r="H677" s="24"/>
      <c r="J677" s="18" t="str">
        <f aca="false">IF(F677="","",F677*G677)</f>
        <v/>
      </c>
      <c r="K677" s="5" t="str">
        <f aca="false">IF(A677="","",IF(H677&lt;&gt;"",Assumptions!$D$5-H677,IF(C677="","",Assumptions!$D$5-(C677+Assumptions!$B$8))))</f>
        <v/>
      </c>
      <c r="L677" s="5" t="str">
        <f aca="false">IF(K677="","",IF(K677&lt;0,"Phase 1 (unliquidated)",IF(K677&lt;=Assumptions!$B$7,"Phase 1 (recently liquidated)",IF(K677&lt;=Assumptions!$B$6,"Protest required","Deadline passed — litigation only"))))</f>
        <v/>
      </c>
      <c r="M677" s="20" t="str">
        <f aca="false">IF(K677="","",IF(H677&lt;&gt;"",H677+Assumptions!$B$6,C677+Assumptions!$B$8+Assumptions!$B$6))</f>
        <v/>
      </c>
      <c r="N677" s="20" t="str">
        <f aca="false">IF(K677="","",IF(K677&lt;0,IF(H677&lt;&gt;"",H677+Assumptions!$B$7,C677+Assumptions!$B$8+Assumptions!$B$7),M677))</f>
        <v/>
      </c>
      <c r="O677" s="21" t="str">
        <f aca="false">IF(N677="","",N677-Assumptions!$D$5)</f>
        <v/>
      </c>
      <c r="P677" s="22"/>
      <c r="Q677" s="22"/>
      <c r="R677" s="18" t="str">
        <f aca="false">IF(Q677="","",Q677*IF(LEFT(L677,7)="Phase 1",Assumptions!$B$11,Assumptions!$B$12))</f>
        <v/>
      </c>
    </row>
    <row r="678" customFormat="false" ht="15" hidden="false" customHeight="true" outlineLevel="0" collapsed="false">
      <c r="C678" s="24"/>
      <c r="F678" s="22"/>
      <c r="G678" s="23"/>
      <c r="H678" s="24"/>
      <c r="J678" s="18" t="str">
        <f aca="false">IF(F678="","",F678*G678)</f>
        <v/>
      </c>
      <c r="K678" s="5" t="str">
        <f aca="false">IF(A678="","",IF(H678&lt;&gt;"",Assumptions!$D$5-H678,IF(C678="","",Assumptions!$D$5-(C678+Assumptions!$B$8))))</f>
        <v/>
      </c>
      <c r="L678" s="5" t="str">
        <f aca="false">IF(K678="","",IF(K678&lt;0,"Phase 1 (unliquidated)",IF(K678&lt;=Assumptions!$B$7,"Phase 1 (recently liquidated)",IF(K678&lt;=Assumptions!$B$6,"Protest required","Deadline passed — litigation only"))))</f>
        <v/>
      </c>
      <c r="M678" s="20" t="str">
        <f aca="false">IF(K678="","",IF(H678&lt;&gt;"",H678+Assumptions!$B$6,C678+Assumptions!$B$8+Assumptions!$B$6))</f>
        <v/>
      </c>
      <c r="N678" s="20" t="str">
        <f aca="false">IF(K678="","",IF(K678&lt;0,IF(H678&lt;&gt;"",H678+Assumptions!$B$7,C678+Assumptions!$B$8+Assumptions!$B$7),M678))</f>
        <v/>
      </c>
      <c r="O678" s="21" t="str">
        <f aca="false">IF(N678="","",N678-Assumptions!$D$5)</f>
        <v/>
      </c>
      <c r="P678" s="22"/>
      <c r="Q678" s="22"/>
      <c r="R678" s="18" t="str">
        <f aca="false">IF(Q678="","",Q678*IF(LEFT(L678,7)="Phase 1",Assumptions!$B$11,Assumptions!$B$12))</f>
        <v/>
      </c>
    </row>
    <row r="679" customFormat="false" ht="15" hidden="false" customHeight="true" outlineLevel="0" collapsed="false">
      <c r="C679" s="24"/>
      <c r="F679" s="22"/>
      <c r="G679" s="23"/>
      <c r="H679" s="24"/>
      <c r="J679" s="18" t="str">
        <f aca="false">IF(F679="","",F679*G679)</f>
        <v/>
      </c>
      <c r="K679" s="5" t="str">
        <f aca="false">IF(A679="","",IF(H679&lt;&gt;"",Assumptions!$D$5-H679,IF(C679="","",Assumptions!$D$5-(C679+Assumptions!$B$8))))</f>
        <v/>
      </c>
      <c r="L679" s="5" t="str">
        <f aca="false">IF(K679="","",IF(K679&lt;0,"Phase 1 (unliquidated)",IF(K679&lt;=Assumptions!$B$7,"Phase 1 (recently liquidated)",IF(K679&lt;=Assumptions!$B$6,"Protest required","Deadline passed — litigation only"))))</f>
        <v/>
      </c>
      <c r="M679" s="20" t="str">
        <f aca="false">IF(K679="","",IF(H679&lt;&gt;"",H679+Assumptions!$B$6,C679+Assumptions!$B$8+Assumptions!$B$6))</f>
        <v/>
      </c>
      <c r="N679" s="20" t="str">
        <f aca="false">IF(K679="","",IF(K679&lt;0,IF(H679&lt;&gt;"",H679+Assumptions!$B$7,C679+Assumptions!$B$8+Assumptions!$B$7),M679))</f>
        <v/>
      </c>
      <c r="O679" s="21" t="str">
        <f aca="false">IF(N679="","",N679-Assumptions!$D$5)</f>
        <v/>
      </c>
      <c r="P679" s="22"/>
      <c r="Q679" s="22"/>
      <c r="R679" s="18" t="str">
        <f aca="false">IF(Q679="","",Q679*IF(LEFT(L679,7)="Phase 1",Assumptions!$B$11,Assumptions!$B$12))</f>
        <v/>
      </c>
    </row>
    <row r="680" customFormat="false" ht="15" hidden="false" customHeight="true" outlineLevel="0" collapsed="false">
      <c r="C680" s="24"/>
      <c r="F680" s="22"/>
      <c r="G680" s="23"/>
      <c r="H680" s="24"/>
      <c r="J680" s="18" t="str">
        <f aca="false">IF(F680="","",F680*G680)</f>
        <v/>
      </c>
      <c r="K680" s="5" t="str">
        <f aca="false">IF(A680="","",IF(H680&lt;&gt;"",Assumptions!$D$5-H680,IF(C680="","",Assumptions!$D$5-(C680+Assumptions!$B$8))))</f>
        <v/>
      </c>
      <c r="L680" s="5" t="str">
        <f aca="false">IF(K680="","",IF(K680&lt;0,"Phase 1 (unliquidated)",IF(K680&lt;=Assumptions!$B$7,"Phase 1 (recently liquidated)",IF(K680&lt;=Assumptions!$B$6,"Protest required","Deadline passed — litigation only"))))</f>
        <v/>
      </c>
      <c r="M680" s="20" t="str">
        <f aca="false">IF(K680="","",IF(H680&lt;&gt;"",H680+Assumptions!$B$6,C680+Assumptions!$B$8+Assumptions!$B$6))</f>
        <v/>
      </c>
      <c r="N680" s="20" t="str">
        <f aca="false">IF(K680="","",IF(K680&lt;0,IF(H680&lt;&gt;"",H680+Assumptions!$B$7,C680+Assumptions!$B$8+Assumptions!$B$7),M680))</f>
        <v/>
      </c>
      <c r="O680" s="21" t="str">
        <f aca="false">IF(N680="","",N680-Assumptions!$D$5)</f>
        <v/>
      </c>
      <c r="P680" s="22"/>
      <c r="Q680" s="22"/>
      <c r="R680" s="18" t="str">
        <f aca="false">IF(Q680="","",Q680*IF(LEFT(L680,7)="Phase 1",Assumptions!$B$11,Assumptions!$B$12))</f>
        <v/>
      </c>
    </row>
    <row r="681" customFormat="false" ht="15" hidden="false" customHeight="true" outlineLevel="0" collapsed="false">
      <c r="C681" s="24"/>
      <c r="F681" s="22"/>
      <c r="G681" s="23"/>
      <c r="H681" s="24"/>
      <c r="J681" s="18" t="str">
        <f aca="false">IF(F681="","",F681*G681)</f>
        <v/>
      </c>
      <c r="K681" s="5" t="str">
        <f aca="false">IF(A681="","",IF(H681&lt;&gt;"",Assumptions!$D$5-H681,IF(C681="","",Assumptions!$D$5-(C681+Assumptions!$B$8))))</f>
        <v/>
      </c>
      <c r="L681" s="5" t="str">
        <f aca="false">IF(K681="","",IF(K681&lt;0,"Phase 1 (unliquidated)",IF(K681&lt;=Assumptions!$B$7,"Phase 1 (recently liquidated)",IF(K681&lt;=Assumptions!$B$6,"Protest required","Deadline passed — litigation only"))))</f>
        <v/>
      </c>
      <c r="M681" s="20" t="str">
        <f aca="false">IF(K681="","",IF(H681&lt;&gt;"",H681+Assumptions!$B$6,C681+Assumptions!$B$8+Assumptions!$B$6))</f>
        <v/>
      </c>
      <c r="N681" s="20" t="str">
        <f aca="false">IF(K681="","",IF(K681&lt;0,IF(H681&lt;&gt;"",H681+Assumptions!$B$7,C681+Assumptions!$B$8+Assumptions!$B$7),M681))</f>
        <v/>
      </c>
      <c r="O681" s="21" t="str">
        <f aca="false">IF(N681="","",N681-Assumptions!$D$5)</f>
        <v/>
      </c>
      <c r="P681" s="22"/>
      <c r="Q681" s="22"/>
      <c r="R681" s="18" t="str">
        <f aca="false">IF(Q681="","",Q681*IF(LEFT(L681,7)="Phase 1",Assumptions!$B$11,Assumptions!$B$12))</f>
        <v/>
      </c>
    </row>
    <row r="682" customFormat="false" ht="15" hidden="false" customHeight="true" outlineLevel="0" collapsed="false">
      <c r="C682" s="24"/>
      <c r="F682" s="22"/>
      <c r="G682" s="23"/>
      <c r="H682" s="24"/>
      <c r="J682" s="18" t="str">
        <f aca="false">IF(F682="","",F682*G682)</f>
        <v/>
      </c>
      <c r="K682" s="5" t="str">
        <f aca="false">IF(A682="","",IF(H682&lt;&gt;"",Assumptions!$D$5-H682,IF(C682="","",Assumptions!$D$5-(C682+Assumptions!$B$8))))</f>
        <v/>
      </c>
      <c r="L682" s="5" t="str">
        <f aca="false">IF(K682="","",IF(K682&lt;0,"Phase 1 (unliquidated)",IF(K682&lt;=Assumptions!$B$7,"Phase 1 (recently liquidated)",IF(K682&lt;=Assumptions!$B$6,"Protest required","Deadline passed — litigation only"))))</f>
        <v/>
      </c>
      <c r="M682" s="20" t="str">
        <f aca="false">IF(K682="","",IF(H682&lt;&gt;"",H682+Assumptions!$B$6,C682+Assumptions!$B$8+Assumptions!$B$6))</f>
        <v/>
      </c>
      <c r="N682" s="20" t="str">
        <f aca="false">IF(K682="","",IF(K682&lt;0,IF(H682&lt;&gt;"",H682+Assumptions!$B$7,C682+Assumptions!$B$8+Assumptions!$B$7),M682))</f>
        <v/>
      </c>
      <c r="O682" s="21" t="str">
        <f aca="false">IF(N682="","",N682-Assumptions!$D$5)</f>
        <v/>
      </c>
      <c r="P682" s="22"/>
      <c r="Q682" s="22"/>
      <c r="R682" s="18" t="str">
        <f aca="false">IF(Q682="","",Q682*IF(LEFT(L682,7)="Phase 1",Assumptions!$B$11,Assumptions!$B$12))</f>
        <v/>
      </c>
    </row>
    <row r="683" customFormat="false" ht="15" hidden="false" customHeight="true" outlineLevel="0" collapsed="false">
      <c r="C683" s="24"/>
      <c r="F683" s="22"/>
      <c r="G683" s="23"/>
      <c r="H683" s="24"/>
      <c r="J683" s="18" t="str">
        <f aca="false">IF(F683="","",F683*G683)</f>
        <v/>
      </c>
      <c r="K683" s="5" t="str">
        <f aca="false">IF(A683="","",IF(H683&lt;&gt;"",Assumptions!$D$5-H683,IF(C683="","",Assumptions!$D$5-(C683+Assumptions!$B$8))))</f>
        <v/>
      </c>
      <c r="L683" s="5" t="str">
        <f aca="false">IF(K683="","",IF(K683&lt;0,"Phase 1 (unliquidated)",IF(K683&lt;=Assumptions!$B$7,"Phase 1 (recently liquidated)",IF(K683&lt;=Assumptions!$B$6,"Protest required","Deadline passed — litigation only"))))</f>
        <v/>
      </c>
      <c r="M683" s="20" t="str">
        <f aca="false">IF(K683="","",IF(H683&lt;&gt;"",H683+Assumptions!$B$6,C683+Assumptions!$B$8+Assumptions!$B$6))</f>
        <v/>
      </c>
      <c r="N683" s="20" t="str">
        <f aca="false">IF(K683="","",IF(K683&lt;0,IF(H683&lt;&gt;"",H683+Assumptions!$B$7,C683+Assumptions!$B$8+Assumptions!$B$7),M683))</f>
        <v/>
      </c>
      <c r="O683" s="21" t="str">
        <f aca="false">IF(N683="","",N683-Assumptions!$D$5)</f>
        <v/>
      </c>
      <c r="P683" s="22"/>
      <c r="Q683" s="22"/>
      <c r="R683" s="18" t="str">
        <f aca="false">IF(Q683="","",Q683*IF(LEFT(L683,7)="Phase 1",Assumptions!$B$11,Assumptions!$B$12))</f>
        <v/>
      </c>
    </row>
    <row r="684" customFormat="false" ht="15" hidden="false" customHeight="true" outlineLevel="0" collapsed="false">
      <c r="C684" s="24"/>
      <c r="F684" s="22"/>
      <c r="G684" s="23"/>
      <c r="H684" s="24"/>
      <c r="J684" s="18" t="str">
        <f aca="false">IF(F684="","",F684*G684)</f>
        <v/>
      </c>
      <c r="K684" s="5" t="str">
        <f aca="false">IF(A684="","",IF(H684&lt;&gt;"",Assumptions!$D$5-H684,IF(C684="","",Assumptions!$D$5-(C684+Assumptions!$B$8))))</f>
        <v/>
      </c>
      <c r="L684" s="5" t="str">
        <f aca="false">IF(K684="","",IF(K684&lt;0,"Phase 1 (unliquidated)",IF(K684&lt;=Assumptions!$B$7,"Phase 1 (recently liquidated)",IF(K684&lt;=Assumptions!$B$6,"Protest required","Deadline passed — litigation only"))))</f>
        <v/>
      </c>
      <c r="M684" s="20" t="str">
        <f aca="false">IF(K684="","",IF(H684&lt;&gt;"",H684+Assumptions!$B$6,C684+Assumptions!$B$8+Assumptions!$B$6))</f>
        <v/>
      </c>
      <c r="N684" s="20" t="str">
        <f aca="false">IF(K684="","",IF(K684&lt;0,IF(H684&lt;&gt;"",H684+Assumptions!$B$7,C684+Assumptions!$B$8+Assumptions!$B$7),M684))</f>
        <v/>
      </c>
      <c r="O684" s="21" t="str">
        <f aca="false">IF(N684="","",N684-Assumptions!$D$5)</f>
        <v/>
      </c>
      <c r="P684" s="22"/>
      <c r="Q684" s="22"/>
      <c r="R684" s="18" t="str">
        <f aca="false">IF(Q684="","",Q684*IF(LEFT(L684,7)="Phase 1",Assumptions!$B$11,Assumptions!$B$12))</f>
        <v/>
      </c>
    </row>
    <row r="685" customFormat="false" ht="15" hidden="false" customHeight="true" outlineLevel="0" collapsed="false">
      <c r="C685" s="24"/>
      <c r="F685" s="22"/>
      <c r="G685" s="23"/>
      <c r="H685" s="24"/>
      <c r="J685" s="18" t="str">
        <f aca="false">IF(F685="","",F685*G685)</f>
        <v/>
      </c>
      <c r="K685" s="5" t="str">
        <f aca="false">IF(A685="","",IF(H685&lt;&gt;"",Assumptions!$D$5-H685,IF(C685="","",Assumptions!$D$5-(C685+Assumptions!$B$8))))</f>
        <v/>
      </c>
      <c r="L685" s="5" t="str">
        <f aca="false">IF(K685="","",IF(K685&lt;0,"Phase 1 (unliquidated)",IF(K685&lt;=Assumptions!$B$7,"Phase 1 (recently liquidated)",IF(K685&lt;=Assumptions!$B$6,"Protest required","Deadline passed — litigation only"))))</f>
        <v/>
      </c>
      <c r="M685" s="20" t="str">
        <f aca="false">IF(K685="","",IF(H685&lt;&gt;"",H685+Assumptions!$B$6,C685+Assumptions!$B$8+Assumptions!$B$6))</f>
        <v/>
      </c>
      <c r="N685" s="20" t="str">
        <f aca="false">IF(K685="","",IF(K685&lt;0,IF(H685&lt;&gt;"",H685+Assumptions!$B$7,C685+Assumptions!$B$8+Assumptions!$B$7),M685))</f>
        <v/>
      </c>
      <c r="O685" s="21" t="str">
        <f aca="false">IF(N685="","",N685-Assumptions!$D$5)</f>
        <v/>
      </c>
      <c r="P685" s="22"/>
      <c r="Q685" s="22"/>
      <c r="R685" s="18" t="str">
        <f aca="false">IF(Q685="","",Q685*IF(LEFT(L685,7)="Phase 1",Assumptions!$B$11,Assumptions!$B$12))</f>
        <v/>
      </c>
    </row>
    <row r="686" customFormat="false" ht="15" hidden="false" customHeight="true" outlineLevel="0" collapsed="false">
      <c r="C686" s="24"/>
      <c r="F686" s="22"/>
      <c r="G686" s="23"/>
      <c r="H686" s="24"/>
      <c r="J686" s="18" t="str">
        <f aca="false">IF(F686="","",F686*G686)</f>
        <v/>
      </c>
      <c r="K686" s="5" t="str">
        <f aca="false">IF(A686="","",IF(H686&lt;&gt;"",Assumptions!$D$5-H686,IF(C686="","",Assumptions!$D$5-(C686+Assumptions!$B$8))))</f>
        <v/>
      </c>
      <c r="L686" s="5" t="str">
        <f aca="false">IF(K686="","",IF(K686&lt;0,"Phase 1 (unliquidated)",IF(K686&lt;=Assumptions!$B$7,"Phase 1 (recently liquidated)",IF(K686&lt;=Assumptions!$B$6,"Protest required","Deadline passed — litigation only"))))</f>
        <v/>
      </c>
      <c r="M686" s="20" t="str">
        <f aca="false">IF(K686="","",IF(H686&lt;&gt;"",H686+Assumptions!$B$6,C686+Assumptions!$B$8+Assumptions!$B$6))</f>
        <v/>
      </c>
      <c r="N686" s="20" t="str">
        <f aca="false">IF(K686="","",IF(K686&lt;0,IF(H686&lt;&gt;"",H686+Assumptions!$B$7,C686+Assumptions!$B$8+Assumptions!$B$7),M686))</f>
        <v/>
      </c>
      <c r="O686" s="21" t="str">
        <f aca="false">IF(N686="","",N686-Assumptions!$D$5)</f>
        <v/>
      </c>
      <c r="P686" s="22"/>
      <c r="Q686" s="22"/>
      <c r="R686" s="18" t="str">
        <f aca="false">IF(Q686="","",Q686*IF(LEFT(L686,7)="Phase 1",Assumptions!$B$11,Assumptions!$B$12))</f>
        <v/>
      </c>
    </row>
    <row r="687" customFormat="false" ht="15" hidden="false" customHeight="true" outlineLevel="0" collapsed="false">
      <c r="C687" s="24"/>
      <c r="F687" s="22"/>
      <c r="G687" s="23"/>
      <c r="H687" s="24"/>
      <c r="J687" s="18" t="str">
        <f aca="false">IF(F687="","",F687*G687)</f>
        <v/>
      </c>
      <c r="K687" s="5" t="str">
        <f aca="false">IF(A687="","",IF(H687&lt;&gt;"",Assumptions!$D$5-H687,IF(C687="","",Assumptions!$D$5-(C687+Assumptions!$B$8))))</f>
        <v/>
      </c>
      <c r="L687" s="5" t="str">
        <f aca="false">IF(K687="","",IF(K687&lt;0,"Phase 1 (unliquidated)",IF(K687&lt;=Assumptions!$B$7,"Phase 1 (recently liquidated)",IF(K687&lt;=Assumptions!$B$6,"Protest required","Deadline passed — litigation only"))))</f>
        <v/>
      </c>
      <c r="M687" s="20" t="str">
        <f aca="false">IF(K687="","",IF(H687&lt;&gt;"",H687+Assumptions!$B$6,C687+Assumptions!$B$8+Assumptions!$B$6))</f>
        <v/>
      </c>
      <c r="N687" s="20" t="str">
        <f aca="false">IF(K687="","",IF(K687&lt;0,IF(H687&lt;&gt;"",H687+Assumptions!$B$7,C687+Assumptions!$B$8+Assumptions!$B$7),M687))</f>
        <v/>
      </c>
      <c r="O687" s="21" t="str">
        <f aca="false">IF(N687="","",N687-Assumptions!$D$5)</f>
        <v/>
      </c>
      <c r="P687" s="22"/>
      <c r="Q687" s="22"/>
      <c r="R687" s="18" t="str">
        <f aca="false">IF(Q687="","",Q687*IF(LEFT(L687,7)="Phase 1",Assumptions!$B$11,Assumptions!$B$12))</f>
        <v/>
      </c>
    </row>
    <row r="688" customFormat="false" ht="15" hidden="false" customHeight="true" outlineLevel="0" collapsed="false">
      <c r="C688" s="24"/>
      <c r="F688" s="22"/>
      <c r="G688" s="23"/>
      <c r="H688" s="24"/>
      <c r="J688" s="18" t="str">
        <f aca="false">IF(F688="","",F688*G688)</f>
        <v/>
      </c>
      <c r="K688" s="5" t="str">
        <f aca="false">IF(A688="","",IF(H688&lt;&gt;"",Assumptions!$D$5-H688,IF(C688="","",Assumptions!$D$5-(C688+Assumptions!$B$8))))</f>
        <v/>
      </c>
      <c r="L688" s="5" t="str">
        <f aca="false">IF(K688="","",IF(K688&lt;0,"Phase 1 (unliquidated)",IF(K688&lt;=Assumptions!$B$7,"Phase 1 (recently liquidated)",IF(K688&lt;=Assumptions!$B$6,"Protest required","Deadline passed — litigation only"))))</f>
        <v/>
      </c>
      <c r="M688" s="20" t="str">
        <f aca="false">IF(K688="","",IF(H688&lt;&gt;"",H688+Assumptions!$B$6,C688+Assumptions!$B$8+Assumptions!$B$6))</f>
        <v/>
      </c>
      <c r="N688" s="20" t="str">
        <f aca="false">IF(K688="","",IF(K688&lt;0,IF(H688&lt;&gt;"",H688+Assumptions!$B$7,C688+Assumptions!$B$8+Assumptions!$B$7),M688))</f>
        <v/>
      </c>
      <c r="O688" s="21" t="str">
        <f aca="false">IF(N688="","",N688-Assumptions!$D$5)</f>
        <v/>
      </c>
      <c r="P688" s="22"/>
      <c r="Q688" s="22"/>
      <c r="R688" s="18" t="str">
        <f aca="false">IF(Q688="","",Q688*IF(LEFT(L688,7)="Phase 1",Assumptions!$B$11,Assumptions!$B$12))</f>
        <v/>
      </c>
    </row>
    <row r="689" customFormat="false" ht="15" hidden="false" customHeight="true" outlineLevel="0" collapsed="false">
      <c r="C689" s="24"/>
      <c r="F689" s="22"/>
      <c r="G689" s="23"/>
      <c r="H689" s="24"/>
      <c r="J689" s="18" t="str">
        <f aca="false">IF(F689="","",F689*G689)</f>
        <v/>
      </c>
      <c r="K689" s="5" t="str">
        <f aca="false">IF(A689="","",IF(H689&lt;&gt;"",Assumptions!$D$5-H689,IF(C689="","",Assumptions!$D$5-(C689+Assumptions!$B$8))))</f>
        <v/>
      </c>
      <c r="L689" s="5" t="str">
        <f aca="false">IF(K689="","",IF(K689&lt;0,"Phase 1 (unliquidated)",IF(K689&lt;=Assumptions!$B$7,"Phase 1 (recently liquidated)",IF(K689&lt;=Assumptions!$B$6,"Protest required","Deadline passed — litigation only"))))</f>
        <v/>
      </c>
      <c r="M689" s="20" t="str">
        <f aca="false">IF(K689="","",IF(H689&lt;&gt;"",H689+Assumptions!$B$6,C689+Assumptions!$B$8+Assumptions!$B$6))</f>
        <v/>
      </c>
      <c r="N689" s="20" t="str">
        <f aca="false">IF(K689="","",IF(K689&lt;0,IF(H689&lt;&gt;"",H689+Assumptions!$B$7,C689+Assumptions!$B$8+Assumptions!$B$7),M689))</f>
        <v/>
      </c>
      <c r="O689" s="21" t="str">
        <f aca="false">IF(N689="","",N689-Assumptions!$D$5)</f>
        <v/>
      </c>
      <c r="P689" s="22"/>
      <c r="Q689" s="22"/>
      <c r="R689" s="18" t="str">
        <f aca="false">IF(Q689="","",Q689*IF(LEFT(L689,7)="Phase 1",Assumptions!$B$11,Assumptions!$B$12))</f>
        <v/>
      </c>
    </row>
    <row r="690" customFormat="false" ht="15" hidden="false" customHeight="true" outlineLevel="0" collapsed="false">
      <c r="C690" s="24"/>
      <c r="F690" s="22"/>
      <c r="G690" s="23"/>
      <c r="H690" s="24"/>
      <c r="J690" s="18" t="str">
        <f aca="false">IF(F690="","",F690*G690)</f>
        <v/>
      </c>
      <c r="K690" s="5" t="str">
        <f aca="false">IF(A690="","",IF(H690&lt;&gt;"",Assumptions!$D$5-H690,IF(C690="","",Assumptions!$D$5-(C690+Assumptions!$B$8))))</f>
        <v/>
      </c>
      <c r="L690" s="5" t="str">
        <f aca="false">IF(K690="","",IF(K690&lt;0,"Phase 1 (unliquidated)",IF(K690&lt;=Assumptions!$B$7,"Phase 1 (recently liquidated)",IF(K690&lt;=Assumptions!$B$6,"Protest required","Deadline passed — litigation only"))))</f>
        <v/>
      </c>
      <c r="M690" s="20" t="str">
        <f aca="false">IF(K690="","",IF(H690&lt;&gt;"",H690+Assumptions!$B$6,C690+Assumptions!$B$8+Assumptions!$B$6))</f>
        <v/>
      </c>
      <c r="N690" s="20" t="str">
        <f aca="false">IF(K690="","",IF(K690&lt;0,IF(H690&lt;&gt;"",H690+Assumptions!$B$7,C690+Assumptions!$B$8+Assumptions!$B$7),M690))</f>
        <v/>
      </c>
      <c r="O690" s="21" t="str">
        <f aca="false">IF(N690="","",N690-Assumptions!$D$5)</f>
        <v/>
      </c>
      <c r="P690" s="22"/>
      <c r="Q690" s="22"/>
      <c r="R690" s="18" t="str">
        <f aca="false">IF(Q690="","",Q690*IF(LEFT(L690,7)="Phase 1",Assumptions!$B$11,Assumptions!$B$12))</f>
        <v/>
      </c>
    </row>
    <row r="691" customFormat="false" ht="15" hidden="false" customHeight="true" outlineLevel="0" collapsed="false">
      <c r="C691" s="24"/>
      <c r="F691" s="22"/>
      <c r="G691" s="23"/>
      <c r="H691" s="24"/>
      <c r="J691" s="18" t="str">
        <f aca="false">IF(F691="","",F691*G691)</f>
        <v/>
      </c>
      <c r="K691" s="5" t="str">
        <f aca="false">IF(A691="","",IF(H691&lt;&gt;"",Assumptions!$D$5-H691,IF(C691="","",Assumptions!$D$5-(C691+Assumptions!$B$8))))</f>
        <v/>
      </c>
      <c r="L691" s="5" t="str">
        <f aca="false">IF(K691="","",IF(K691&lt;0,"Phase 1 (unliquidated)",IF(K691&lt;=Assumptions!$B$7,"Phase 1 (recently liquidated)",IF(K691&lt;=Assumptions!$B$6,"Protest required","Deadline passed — litigation only"))))</f>
        <v/>
      </c>
      <c r="M691" s="20" t="str">
        <f aca="false">IF(K691="","",IF(H691&lt;&gt;"",H691+Assumptions!$B$6,C691+Assumptions!$B$8+Assumptions!$B$6))</f>
        <v/>
      </c>
      <c r="N691" s="20" t="str">
        <f aca="false">IF(K691="","",IF(K691&lt;0,IF(H691&lt;&gt;"",H691+Assumptions!$B$7,C691+Assumptions!$B$8+Assumptions!$B$7),M691))</f>
        <v/>
      </c>
      <c r="O691" s="21" t="str">
        <f aca="false">IF(N691="","",N691-Assumptions!$D$5)</f>
        <v/>
      </c>
      <c r="P691" s="22"/>
      <c r="Q691" s="22"/>
      <c r="R691" s="18" t="str">
        <f aca="false">IF(Q691="","",Q691*IF(LEFT(L691,7)="Phase 1",Assumptions!$B$11,Assumptions!$B$12))</f>
        <v/>
      </c>
    </row>
    <row r="692" customFormat="false" ht="15" hidden="false" customHeight="true" outlineLevel="0" collapsed="false">
      <c r="C692" s="24"/>
      <c r="F692" s="22"/>
      <c r="G692" s="23"/>
      <c r="H692" s="24"/>
      <c r="J692" s="18" t="str">
        <f aca="false">IF(F692="","",F692*G692)</f>
        <v/>
      </c>
      <c r="K692" s="5" t="str">
        <f aca="false">IF(A692="","",IF(H692&lt;&gt;"",Assumptions!$D$5-H692,IF(C692="","",Assumptions!$D$5-(C692+Assumptions!$B$8))))</f>
        <v/>
      </c>
      <c r="L692" s="5" t="str">
        <f aca="false">IF(K692="","",IF(K692&lt;0,"Phase 1 (unliquidated)",IF(K692&lt;=Assumptions!$B$7,"Phase 1 (recently liquidated)",IF(K692&lt;=Assumptions!$B$6,"Protest required","Deadline passed — litigation only"))))</f>
        <v/>
      </c>
      <c r="M692" s="20" t="str">
        <f aca="false">IF(K692="","",IF(H692&lt;&gt;"",H692+Assumptions!$B$6,C692+Assumptions!$B$8+Assumptions!$B$6))</f>
        <v/>
      </c>
      <c r="N692" s="20" t="str">
        <f aca="false">IF(K692="","",IF(K692&lt;0,IF(H692&lt;&gt;"",H692+Assumptions!$B$7,C692+Assumptions!$B$8+Assumptions!$B$7),M692))</f>
        <v/>
      </c>
      <c r="O692" s="21" t="str">
        <f aca="false">IF(N692="","",N692-Assumptions!$D$5)</f>
        <v/>
      </c>
      <c r="P692" s="22"/>
      <c r="Q692" s="22"/>
      <c r="R692" s="18" t="str">
        <f aca="false">IF(Q692="","",Q692*IF(LEFT(L692,7)="Phase 1",Assumptions!$B$11,Assumptions!$B$12))</f>
        <v/>
      </c>
    </row>
    <row r="693" customFormat="false" ht="15" hidden="false" customHeight="true" outlineLevel="0" collapsed="false">
      <c r="C693" s="24"/>
      <c r="F693" s="22"/>
      <c r="G693" s="23"/>
      <c r="H693" s="24"/>
      <c r="J693" s="18" t="str">
        <f aca="false">IF(F693="","",F693*G693)</f>
        <v/>
      </c>
      <c r="K693" s="5" t="str">
        <f aca="false">IF(A693="","",IF(H693&lt;&gt;"",Assumptions!$D$5-H693,IF(C693="","",Assumptions!$D$5-(C693+Assumptions!$B$8))))</f>
        <v/>
      </c>
      <c r="L693" s="5" t="str">
        <f aca="false">IF(K693="","",IF(K693&lt;0,"Phase 1 (unliquidated)",IF(K693&lt;=Assumptions!$B$7,"Phase 1 (recently liquidated)",IF(K693&lt;=Assumptions!$B$6,"Protest required","Deadline passed — litigation only"))))</f>
        <v/>
      </c>
      <c r="M693" s="20" t="str">
        <f aca="false">IF(K693="","",IF(H693&lt;&gt;"",H693+Assumptions!$B$6,C693+Assumptions!$B$8+Assumptions!$B$6))</f>
        <v/>
      </c>
      <c r="N693" s="20" t="str">
        <f aca="false">IF(K693="","",IF(K693&lt;0,IF(H693&lt;&gt;"",H693+Assumptions!$B$7,C693+Assumptions!$B$8+Assumptions!$B$7),M693))</f>
        <v/>
      </c>
      <c r="O693" s="21" t="str">
        <f aca="false">IF(N693="","",N693-Assumptions!$D$5)</f>
        <v/>
      </c>
      <c r="P693" s="22"/>
      <c r="Q693" s="22"/>
      <c r="R693" s="18" t="str">
        <f aca="false">IF(Q693="","",Q693*IF(LEFT(L693,7)="Phase 1",Assumptions!$B$11,Assumptions!$B$12))</f>
        <v/>
      </c>
    </row>
    <row r="694" customFormat="false" ht="15" hidden="false" customHeight="true" outlineLevel="0" collapsed="false">
      <c r="C694" s="24"/>
      <c r="F694" s="22"/>
      <c r="G694" s="23"/>
      <c r="H694" s="24"/>
      <c r="J694" s="18" t="str">
        <f aca="false">IF(F694="","",F694*G694)</f>
        <v/>
      </c>
      <c r="K694" s="5" t="str">
        <f aca="false">IF(A694="","",IF(H694&lt;&gt;"",Assumptions!$D$5-H694,IF(C694="","",Assumptions!$D$5-(C694+Assumptions!$B$8))))</f>
        <v/>
      </c>
      <c r="L694" s="5" t="str">
        <f aca="false">IF(K694="","",IF(K694&lt;0,"Phase 1 (unliquidated)",IF(K694&lt;=Assumptions!$B$7,"Phase 1 (recently liquidated)",IF(K694&lt;=Assumptions!$B$6,"Protest required","Deadline passed — litigation only"))))</f>
        <v/>
      </c>
      <c r="M694" s="20" t="str">
        <f aca="false">IF(K694="","",IF(H694&lt;&gt;"",H694+Assumptions!$B$6,C694+Assumptions!$B$8+Assumptions!$B$6))</f>
        <v/>
      </c>
      <c r="N694" s="20" t="str">
        <f aca="false">IF(K694="","",IF(K694&lt;0,IF(H694&lt;&gt;"",H694+Assumptions!$B$7,C694+Assumptions!$B$8+Assumptions!$B$7),M694))</f>
        <v/>
      </c>
      <c r="O694" s="21" t="str">
        <f aca="false">IF(N694="","",N694-Assumptions!$D$5)</f>
        <v/>
      </c>
      <c r="P694" s="22"/>
      <c r="Q694" s="22"/>
      <c r="R694" s="18" t="str">
        <f aca="false">IF(Q694="","",Q694*IF(LEFT(L694,7)="Phase 1",Assumptions!$B$11,Assumptions!$B$12))</f>
        <v/>
      </c>
    </row>
    <row r="695" customFormat="false" ht="15" hidden="false" customHeight="true" outlineLevel="0" collapsed="false">
      <c r="C695" s="24"/>
      <c r="F695" s="22"/>
      <c r="G695" s="23"/>
      <c r="H695" s="24"/>
      <c r="J695" s="18" t="str">
        <f aca="false">IF(F695="","",F695*G695)</f>
        <v/>
      </c>
      <c r="K695" s="5" t="str">
        <f aca="false">IF(A695="","",IF(H695&lt;&gt;"",Assumptions!$D$5-H695,IF(C695="","",Assumptions!$D$5-(C695+Assumptions!$B$8))))</f>
        <v/>
      </c>
      <c r="L695" s="5" t="str">
        <f aca="false">IF(K695="","",IF(K695&lt;0,"Phase 1 (unliquidated)",IF(K695&lt;=Assumptions!$B$7,"Phase 1 (recently liquidated)",IF(K695&lt;=Assumptions!$B$6,"Protest required","Deadline passed — litigation only"))))</f>
        <v/>
      </c>
      <c r="M695" s="20" t="str">
        <f aca="false">IF(K695="","",IF(H695&lt;&gt;"",H695+Assumptions!$B$6,C695+Assumptions!$B$8+Assumptions!$B$6))</f>
        <v/>
      </c>
      <c r="N695" s="20" t="str">
        <f aca="false">IF(K695="","",IF(K695&lt;0,IF(H695&lt;&gt;"",H695+Assumptions!$B$7,C695+Assumptions!$B$8+Assumptions!$B$7),M695))</f>
        <v/>
      </c>
      <c r="O695" s="21" t="str">
        <f aca="false">IF(N695="","",N695-Assumptions!$D$5)</f>
        <v/>
      </c>
      <c r="P695" s="22"/>
      <c r="Q695" s="22"/>
      <c r="R695" s="18" t="str">
        <f aca="false">IF(Q695="","",Q695*IF(LEFT(L695,7)="Phase 1",Assumptions!$B$11,Assumptions!$B$12))</f>
        <v/>
      </c>
    </row>
    <row r="696" customFormat="false" ht="15" hidden="false" customHeight="true" outlineLevel="0" collapsed="false">
      <c r="C696" s="24"/>
      <c r="F696" s="22"/>
      <c r="G696" s="23"/>
      <c r="H696" s="24"/>
      <c r="J696" s="18" t="str">
        <f aca="false">IF(F696="","",F696*G696)</f>
        <v/>
      </c>
      <c r="K696" s="5" t="str">
        <f aca="false">IF(A696="","",IF(H696&lt;&gt;"",Assumptions!$D$5-H696,IF(C696="","",Assumptions!$D$5-(C696+Assumptions!$B$8))))</f>
        <v/>
      </c>
      <c r="L696" s="5" t="str">
        <f aca="false">IF(K696="","",IF(K696&lt;0,"Phase 1 (unliquidated)",IF(K696&lt;=Assumptions!$B$7,"Phase 1 (recently liquidated)",IF(K696&lt;=Assumptions!$B$6,"Protest required","Deadline passed — litigation only"))))</f>
        <v/>
      </c>
      <c r="M696" s="20" t="str">
        <f aca="false">IF(K696="","",IF(H696&lt;&gt;"",H696+Assumptions!$B$6,C696+Assumptions!$B$8+Assumptions!$B$6))</f>
        <v/>
      </c>
      <c r="N696" s="20" t="str">
        <f aca="false">IF(K696="","",IF(K696&lt;0,IF(H696&lt;&gt;"",H696+Assumptions!$B$7,C696+Assumptions!$B$8+Assumptions!$B$7),M696))</f>
        <v/>
      </c>
      <c r="O696" s="21" t="str">
        <f aca="false">IF(N696="","",N696-Assumptions!$D$5)</f>
        <v/>
      </c>
      <c r="P696" s="22"/>
      <c r="Q696" s="22"/>
      <c r="R696" s="18" t="str">
        <f aca="false">IF(Q696="","",Q696*IF(LEFT(L696,7)="Phase 1",Assumptions!$B$11,Assumptions!$B$12))</f>
        <v/>
      </c>
    </row>
    <row r="697" customFormat="false" ht="15" hidden="false" customHeight="true" outlineLevel="0" collapsed="false">
      <c r="C697" s="24"/>
      <c r="F697" s="22"/>
      <c r="G697" s="23"/>
      <c r="H697" s="24"/>
      <c r="J697" s="18" t="str">
        <f aca="false">IF(F697="","",F697*G697)</f>
        <v/>
      </c>
      <c r="K697" s="5" t="str">
        <f aca="false">IF(A697="","",IF(H697&lt;&gt;"",Assumptions!$D$5-H697,IF(C697="","",Assumptions!$D$5-(C697+Assumptions!$B$8))))</f>
        <v/>
      </c>
      <c r="L697" s="5" t="str">
        <f aca="false">IF(K697="","",IF(K697&lt;0,"Phase 1 (unliquidated)",IF(K697&lt;=Assumptions!$B$7,"Phase 1 (recently liquidated)",IF(K697&lt;=Assumptions!$B$6,"Protest required","Deadline passed — litigation only"))))</f>
        <v/>
      </c>
      <c r="M697" s="20" t="str">
        <f aca="false">IF(K697="","",IF(H697&lt;&gt;"",H697+Assumptions!$B$6,C697+Assumptions!$B$8+Assumptions!$B$6))</f>
        <v/>
      </c>
      <c r="N697" s="20" t="str">
        <f aca="false">IF(K697="","",IF(K697&lt;0,IF(H697&lt;&gt;"",H697+Assumptions!$B$7,C697+Assumptions!$B$8+Assumptions!$B$7),M697))</f>
        <v/>
      </c>
      <c r="O697" s="21" t="str">
        <f aca="false">IF(N697="","",N697-Assumptions!$D$5)</f>
        <v/>
      </c>
      <c r="P697" s="22"/>
      <c r="Q697" s="22"/>
      <c r="R697" s="18" t="str">
        <f aca="false">IF(Q697="","",Q697*IF(LEFT(L697,7)="Phase 1",Assumptions!$B$11,Assumptions!$B$12))</f>
        <v/>
      </c>
    </row>
    <row r="698" customFormat="false" ht="15" hidden="false" customHeight="true" outlineLevel="0" collapsed="false">
      <c r="C698" s="24"/>
      <c r="F698" s="22"/>
      <c r="G698" s="23"/>
      <c r="H698" s="24"/>
      <c r="J698" s="18" t="str">
        <f aca="false">IF(F698="","",F698*G698)</f>
        <v/>
      </c>
      <c r="K698" s="5" t="str">
        <f aca="false">IF(A698="","",IF(H698&lt;&gt;"",Assumptions!$D$5-H698,IF(C698="","",Assumptions!$D$5-(C698+Assumptions!$B$8))))</f>
        <v/>
      </c>
      <c r="L698" s="5" t="str">
        <f aca="false">IF(K698="","",IF(K698&lt;0,"Phase 1 (unliquidated)",IF(K698&lt;=Assumptions!$B$7,"Phase 1 (recently liquidated)",IF(K698&lt;=Assumptions!$B$6,"Protest required","Deadline passed — litigation only"))))</f>
        <v/>
      </c>
      <c r="M698" s="20" t="str">
        <f aca="false">IF(K698="","",IF(H698&lt;&gt;"",H698+Assumptions!$B$6,C698+Assumptions!$B$8+Assumptions!$B$6))</f>
        <v/>
      </c>
      <c r="N698" s="20" t="str">
        <f aca="false">IF(K698="","",IF(K698&lt;0,IF(H698&lt;&gt;"",H698+Assumptions!$B$7,C698+Assumptions!$B$8+Assumptions!$B$7),M698))</f>
        <v/>
      </c>
      <c r="O698" s="21" t="str">
        <f aca="false">IF(N698="","",N698-Assumptions!$D$5)</f>
        <v/>
      </c>
      <c r="P698" s="22"/>
      <c r="Q698" s="22"/>
      <c r="R698" s="18" t="str">
        <f aca="false">IF(Q698="","",Q698*IF(LEFT(L698,7)="Phase 1",Assumptions!$B$11,Assumptions!$B$12))</f>
        <v/>
      </c>
    </row>
    <row r="699" customFormat="false" ht="15" hidden="false" customHeight="true" outlineLevel="0" collapsed="false">
      <c r="C699" s="24"/>
      <c r="F699" s="22"/>
      <c r="G699" s="23"/>
      <c r="H699" s="24"/>
      <c r="J699" s="18" t="str">
        <f aca="false">IF(F699="","",F699*G699)</f>
        <v/>
      </c>
      <c r="K699" s="5" t="str">
        <f aca="false">IF(A699="","",IF(H699&lt;&gt;"",Assumptions!$D$5-H699,IF(C699="","",Assumptions!$D$5-(C699+Assumptions!$B$8))))</f>
        <v/>
      </c>
      <c r="L699" s="5" t="str">
        <f aca="false">IF(K699="","",IF(K699&lt;0,"Phase 1 (unliquidated)",IF(K699&lt;=Assumptions!$B$7,"Phase 1 (recently liquidated)",IF(K699&lt;=Assumptions!$B$6,"Protest required","Deadline passed — litigation only"))))</f>
        <v/>
      </c>
      <c r="M699" s="20" t="str">
        <f aca="false">IF(K699="","",IF(H699&lt;&gt;"",H699+Assumptions!$B$6,C699+Assumptions!$B$8+Assumptions!$B$6))</f>
        <v/>
      </c>
      <c r="N699" s="20" t="str">
        <f aca="false">IF(K699="","",IF(K699&lt;0,IF(H699&lt;&gt;"",H699+Assumptions!$B$7,C699+Assumptions!$B$8+Assumptions!$B$7),M699))</f>
        <v/>
      </c>
      <c r="O699" s="21" t="str">
        <f aca="false">IF(N699="","",N699-Assumptions!$D$5)</f>
        <v/>
      </c>
      <c r="P699" s="22"/>
      <c r="Q699" s="22"/>
      <c r="R699" s="18" t="str">
        <f aca="false">IF(Q699="","",Q699*IF(LEFT(L699,7)="Phase 1",Assumptions!$B$11,Assumptions!$B$12))</f>
        <v/>
      </c>
    </row>
    <row r="700" customFormat="false" ht="15" hidden="false" customHeight="true" outlineLevel="0" collapsed="false">
      <c r="C700" s="24"/>
      <c r="F700" s="22"/>
      <c r="G700" s="23"/>
      <c r="H700" s="24"/>
      <c r="J700" s="18" t="str">
        <f aca="false">IF(F700="","",F700*G700)</f>
        <v/>
      </c>
      <c r="K700" s="5" t="str">
        <f aca="false">IF(A700="","",IF(H700&lt;&gt;"",Assumptions!$D$5-H700,IF(C700="","",Assumptions!$D$5-(C700+Assumptions!$B$8))))</f>
        <v/>
      </c>
      <c r="L700" s="5" t="str">
        <f aca="false">IF(K700="","",IF(K700&lt;0,"Phase 1 (unliquidated)",IF(K700&lt;=Assumptions!$B$7,"Phase 1 (recently liquidated)",IF(K700&lt;=Assumptions!$B$6,"Protest required","Deadline passed — litigation only"))))</f>
        <v/>
      </c>
      <c r="M700" s="20" t="str">
        <f aca="false">IF(K700="","",IF(H700&lt;&gt;"",H700+Assumptions!$B$6,C700+Assumptions!$B$8+Assumptions!$B$6))</f>
        <v/>
      </c>
      <c r="N700" s="20" t="str">
        <f aca="false">IF(K700="","",IF(K700&lt;0,IF(H700&lt;&gt;"",H700+Assumptions!$B$7,C700+Assumptions!$B$8+Assumptions!$B$7),M700))</f>
        <v/>
      </c>
      <c r="O700" s="21" t="str">
        <f aca="false">IF(N700="","",N700-Assumptions!$D$5)</f>
        <v/>
      </c>
      <c r="P700" s="22"/>
      <c r="Q700" s="22"/>
      <c r="R700" s="18" t="str">
        <f aca="false">IF(Q700="","",Q700*IF(LEFT(L700,7)="Phase 1",Assumptions!$B$11,Assumptions!$B$12))</f>
        <v/>
      </c>
    </row>
    <row r="701" customFormat="false" ht="15" hidden="false" customHeight="true" outlineLevel="0" collapsed="false">
      <c r="C701" s="24"/>
      <c r="F701" s="22"/>
      <c r="G701" s="23"/>
      <c r="H701" s="24"/>
      <c r="J701" s="18" t="str">
        <f aca="false">IF(F701="","",F701*G701)</f>
        <v/>
      </c>
      <c r="K701" s="5" t="str">
        <f aca="false">IF(A701="","",IF(H701&lt;&gt;"",Assumptions!$D$5-H701,IF(C701="","",Assumptions!$D$5-(C701+Assumptions!$B$8))))</f>
        <v/>
      </c>
      <c r="L701" s="5" t="str">
        <f aca="false">IF(K701="","",IF(K701&lt;0,"Phase 1 (unliquidated)",IF(K701&lt;=Assumptions!$B$7,"Phase 1 (recently liquidated)",IF(K701&lt;=Assumptions!$B$6,"Protest required","Deadline passed — litigation only"))))</f>
        <v/>
      </c>
      <c r="M701" s="20" t="str">
        <f aca="false">IF(K701="","",IF(H701&lt;&gt;"",H701+Assumptions!$B$6,C701+Assumptions!$B$8+Assumptions!$B$6))</f>
        <v/>
      </c>
      <c r="N701" s="20" t="str">
        <f aca="false">IF(K701="","",IF(K701&lt;0,IF(H701&lt;&gt;"",H701+Assumptions!$B$7,C701+Assumptions!$B$8+Assumptions!$B$7),M701))</f>
        <v/>
      </c>
      <c r="O701" s="21" t="str">
        <f aca="false">IF(N701="","",N701-Assumptions!$D$5)</f>
        <v/>
      </c>
      <c r="P701" s="22"/>
      <c r="Q701" s="22"/>
      <c r="R701" s="18" t="str">
        <f aca="false">IF(Q701="","",Q701*IF(LEFT(L701,7)="Phase 1",Assumptions!$B$11,Assumptions!$B$12))</f>
        <v/>
      </c>
    </row>
    <row r="702" customFormat="false" ht="15" hidden="false" customHeight="true" outlineLevel="0" collapsed="false">
      <c r="C702" s="24"/>
      <c r="F702" s="22"/>
      <c r="G702" s="23"/>
      <c r="H702" s="24"/>
      <c r="J702" s="18" t="str">
        <f aca="false">IF(F702="","",F702*G702)</f>
        <v/>
      </c>
      <c r="K702" s="5" t="str">
        <f aca="false">IF(A702="","",IF(H702&lt;&gt;"",Assumptions!$D$5-H702,IF(C702="","",Assumptions!$D$5-(C702+Assumptions!$B$8))))</f>
        <v/>
      </c>
      <c r="L702" s="5" t="str">
        <f aca="false">IF(K702="","",IF(K702&lt;0,"Phase 1 (unliquidated)",IF(K702&lt;=Assumptions!$B$7,"Phase 1 (recently liquidated)",IF(K702&lt;=Assumptions!$B$6,"Protest required","Deadline passed — litigation only"))))</f>
        <v/>
      </c>
      <c r="M702" s="20" t="str">
        <f aca="false">IF(K702="","",IF(H702&lt;&gt;"",H702+Assumptions!$B$6,C702+Assumptions!$B$8+Assumptions!$B$6))</f>
        <v/>
      </c>
      <c r="N702" s="20" t="str">
        <f aca="false">IF(K702="","",IF(K702&lt;0,IF(H702&lt;&gt;"",H702+Assumptions!$B$7,C702+Assumptions!$B$8+Assumptions!$B$7),M702))</f>
        <v/>
      </c>
      <c r="O702" s="21" t="str">
        <f aca="false">IF(N702="","",N702-Assumptions!$D$5)</f>
        <v/>
      </c>
      <c r="P702" s="22"/>
      <c r="Q702" s="22"/>
      <c r="R702" s="18" t="str">
        <f aca="false">IF(Q702="","",Q702*IF(LEFT(L702,7)="Phase 1",Assumptions!$B$11,Assumptions!$B$12))</f>
        <v/>
      </c>
    </row>
    <row r="703" customFormat="false" ht="15" hidden="false" customHeight="true" outlineLevel="0" collapsed="false">
      <c r="C703" s="24"/>
      <c r="F703" s="22"/>
      <c r="G703" s="23"/>
      <c r="H703" s="24"/>
      <c r="J703" s="18" t="str">
        <f aca="false">IF(F703="","",F703*G703)</f>
        <v/>
      </c>
      <c r="K703" s="5" t="str">
        <f aca="false">IF(A703="","",IF(H703&lt;&gt;"",Assumptions!$D$5-H703,IF(C703="","",Assumptions!$D$5-(C703+Assumptions!$B$8))))</f>
        <v/>
      </c>
      <c r="L703" s="5" t="str">
        <f aca="false">IF(K703="","",IF(K703&lt;0,"Phase 1 (unliquidated)",IF(K703&lt;=Assumptions!$B$7,"Phase 1 (recently liquidated)",IF(K703&lt;=Assumptions!$B$6,"Protest required","Deadline passed — litigation only"))))</f>
        <v/>
      </c>
      <c r="M703" s="20" t="str">
        <f aca="false">IF(K703="","",IF(H703&lt;&gt;"",H703+Assumptions!$B$6,C703+Assumptions!$B$8+Assumptions!$B$6))</f>
        <v/>
      </c>
      <c r="N703" s="20" t="str">
        <f aca="false">IF(K703="","",IF(K703&lt;0,IF(H703&lt;&gt;"",H703+Assumptions!$B$7,C703+Assumptions!$B$8+Assumptions!$B$7),M703))</f>
        <v/>
      </c>
      <c r="O703" s="21" t="str">
        <f aca="false">IF(N703="","",N703-Assumptions!$D$5)</f>
        <v/>
      </c>
      <c r="P703" s="22"/>
      <c r="Q703" s="22"/>
      <c r="R703" s="18" t="str">
        <f aca="false">IF(Q703="","",Q703*IF(LEFT(L703,7)="Phase 1",Assumptions!$B$11,Assumptions!$B$12))</f>
        <v/>
      </c>
    </row>
    <row r="704" customFormat="false" ht="15" hidden="false" customHeight="true" outlineLevel="0" collapsed="false">
      <c r="C704" s="24"/>
      <c r="F704" s="22"/>
      <c r="G704" s="23"/>
      <c r="H704" s="24"/>
      <c r="J704" s="18" t="str">
        <f aca="false">IF(F704="","",F704*G704)</f>
        <v/>
      </c>
      <c r="K704" s="5" t="str">
        <f aca="false">IF(A704="","",IF(H704&lt;&gt;"",Assumptions!$D$5-H704,IF(C704="","",Assumptions!$D$5-(C704+Assumptions!$B$8))))</f>
        <v/>
      </c>
      <c r="L704" s="5" t="str">
        <f aca="false">IF(K704="","",IF(K704&lt;0,"Phase 1 (unliquidated)",IF(K704&lt;=Assumptions!$B$7,"Phase 1 (recently liquidated)",IF(K704&lt;=Assumptions!$B$6,"Protest required","Deadline passed — litigation only"))))</f>
        <v/>
      </c>
      <c r="M704" s="20" t="str">
        <f aca="false">IF(K704="","",IF(H704&lt;&gt;"",H704+Assumptions!$B$6,C704+Assumptions!$B$8+Assumptions!$B$6))</f>
        <v/>
      </c>
      <c r="N704" s="20" t="str">
        <f aca="false">IF(K704="","",IF(K704&lt;0,IF(H704&lt;&gt;"",H704+Assumptions!$B$7,C704+Assumptions!$B$8+Assumptions!$B$7),M704))</f>
        <v/>
      </c>
      <c r="O704" s="21" t="str">
        <f aca="false">IF(N704="","",N704-Assumptions!$D$5)</f>
        <v/>
      </c>
      <c r="P704" s="22"/>
      <c r="Q704" s="22"/>
      <c r="R704" s="18" t="str">
        <f aca="false">IF(Q704="","",Q704*IF(LEFT(L704,7)="Phase 1",Assumptions!$B$11,Assumptions!$B$12))</f>
        <v/>
      </c>
    </row>
    <row r="705" customFormat="false" ht="15" hidden="false" customHeight="true" outlineLevel="0" collapsed="false">
      <c r="C705" s="24"/>
      <c r="F705" s="22"/>
      <c r="G705" s="23"/>
      <c r="H705" s="24"/>
      <c r="J705" s="18" t="str">
        <f aca="false">IF(F705="","",F705*G705)</f>
        <v/>
      </c>
      <c r="K705" s="5" t="str">
        <f aca="false">IF(A705="","",IF(H705&lt;&gt;"",Assumptions!$D$5-H705,IF(C705="","",Assumptions!$D$5-(C705+Assumptions!$B$8))))</f>
        <v/>
      </c>
      <c r="L705" s="5" t="str">
        <f aca="false">IF(K705="","",IF(K705&lt;0,"Phase 1 (unliquidated)",IF(K705&lt;=Assumptions!$B$7,"Phase 1 (recently liquidated)",IF(K705&lt;=Assumptions!$B$6,"Protest required","Deadline passed — litigation only"))))</f>
        <v/>
      </c>
      <c r="M705" s="20" t="str">
        <f aca="false">IF(K705="","",IF(H705&lt;&gt;"",H705+Assumptions!$B$6,C705+Assumptions!$B$8+Assumptions!$B$6))</f>
        <v/>
      </c>
      <c r="N705" s="20" t="str">
        <f aca="false">IF(K705="","",IF(K705&lt;0,IF(H705&lt;&gt;"",H705+Assumptions!$B$7,C705+Assumptions!$B$8+Assumptions!$B$7),M705))</f>
        <v/>
      </c>
      <c r="O705" s="21" t="str">
        <f aca="false">IF(N705="","",N705-Assumptions!$D$5)</f>
        <v/>
      </c>
      <c r="P705" s="22"/>
      <c r="Q705" s="22"/>
      <c r="R705" s="18" t="str">
        <f aca="false">IF(Q705="","",Q705*IF(LEFT(L705,7)="Phase 1",Assumptions!$B$11,Assumptions!$B$12))</f>
        <v/>
      </c>
    </row>
    <row r="706" customFormat="false" ht="15" hidden="false" customHeight="true" outlineLevel="0" collapsed="false">
      <c r="C706" s="24"/>
      <c r="F706" s="22"/>
      <c r="G706" s="23"/>
      <c r="H706" s="24"/>
      <c r="J706" s="18" t="str">
        <f aca="false">IF(F706="","",F706*G706)</f>
        <v/>
      </c>
      <c r="K706" s="5" t="str">
        <f aca="false">IF(A706="","",IF(H706&lt;&gt;"",Assumptions!$D$5-H706,IF(C706="","",Assumptions!$D$5-(C706+Assumptions!$B$8))))</f>
        <v/>
      </c>
      <c r="L706" s="5" t="str">
        <f aca="false">IF(K706="","",IF(K706&lt;0,"Phase 1 (unliquidated)",IF(K706&lt;=Assumptions!$B$7,"Phase 1 (recently liquidated)",IF(K706&lt;=Assumptions!$B$6,"Protest required","Deadline passed — litigation only"))))</f>
        <v/>
      </c>
      <c r="M706" s="20" t="str">
        <f aca="false">IF(K706="","",IF(H706&lt;&gt;"",H706+Assumptions!$B$6,C706+Assumptions!$B$8+Assumptions!$B$6))</f>
        <v/>
      </c>
      <c r="N706" s="20" t="str">
        <f aca="false">IF(K706="","",IF(K706&lt;0,IF(H706&lt;&gt;"",H706+Assumptions!$B$7,C706+Assumptions!$B$8+Assumptions!$B$7),M706))</f>
        <v/>
      </c>
      <c r="O706" s="21" t="str">
        <f aca="false">IF(N706="","",N706-Assumptions!$D$5)</f>
        <v/>
      </c>
      <c r="P706" s="22"/>
      <c r="Q706" s="22"/>
      <c r="R706" s="18" t="str">
        <f aca="false">IF(Q706="","",Q706*IF(LEFT(L706,7)="Phase 1",Assumptions!$B$11,Assumptions!$B$12))</f>
        <v/>
      </c>
    </row>
    <row r="707" customFormat="false" ht="15" hidden="false" customHeight="true" outlineLevel="0" collapsed="false">
      <c r="C707" s="24"/>
      <c r="F707" s="22"/>
      <c r="G707" s="23"/>
      <c r="H707" s="24"/>
      <c r="J707" s="18" t="str">
        <f aca="false">IF(F707="","",F707*G707)</f>
        <v/>
      </c>
      <c r="K707" s="5" t="str">
        <f aca="false">IF(A707="","",IF(H707&lt;&gt;"",Assumptions!$D$5-H707,IF(C707="","",Assumptions!$D$5-(C707+Assumptions!$B$8))))</f>
        <v/>
      </c>
      <c r="L707" s="5" t="str">
        <f aca="false">IF(K707="","",IF(K707&lt;0,"Phase 1 (unliquidated)",IF(K707&lt;=Assumptions!$B$7,"Phase 1 (recently liquidated)",IF(K707&lt;=Assumptions!$B$6,"Protest required","Deadline passed — litigation only"))))</f>
        <v/>
      </c>
      <c r="M707" s="20" t="str">
        <f aca="false">IF(K707="","",IF(H707&lt;&gt;"",H707+Assumptions!$B$6,C707+Assumptions!$B$8+Assumptions!$B$6))</f>
        <v/>
      </c>
      <c r="N707" s="20" t="str">
        <f aca="false">IF(K707="","",IF(K707&lt;0,IF(H707&lt;&gt;"",H707+Assumptions!$B$7,C707+Assumptions!$B$8+Assumptions!$B$7),M707))</f>
        <v/>
      </c>
      <c r="O707" s="21" t="str">
        <f aca="false">IF(N707="","",N707-Assumptions!$D$5)</f>
        <v/>
      </c>
      <c r="P707" s="22"/>
      <c r="Q707" s="22"/>
      <c r="R707" s="18" t="str">
        <f aca="false">IF(Q707="","",Q707*IF(LEFT(L707,7)="Phase 1",Assumptions!$B$11,Assumptions!$B$12))</f>
        <v/>
      </c>
    </row>
    <row r="708" customFormat="false" ht="15" hidden="false" customHeight="true" outlineLevel="0" collapsed="false">
      <c r="C708" s="24"/>
      <c r="F708" s="22"/>
      <c r="G708" s="23"/>
      <c r="H708" s="24"/>
      <c r="J708" s="18" t="str">
        <f aca="false">IF(F708="","",F708*G708)</f>
        <v/>
      </c>
      <c r="K708" s="5" t="str">
        <f aca="false">IF(A708="","",IF(H708&lt;&gt;"",Assumptions!$D$5-H708,IF(C708="","",Assumptions!$D$5-(C708+Assumptions!$B$8))))</f>
        <v/>
      </c>
      <c r="L708" s="5" t="str">
        <f aca="false">IF(K708="","",IF(K708&lt;0,"Phase 1 (unliquidated)",IF(K708&lt;=Assumptions!$B$7,"Phase 1 (recently liquidated)",IF(K708&lt;=Assumptions!$B$6,"Protest required","Deadline passed — litigation only"))))</f>
        <v/>
      </c>
      <c r="M708" s="20" t="str">
        <f aca="false">IF(K708="","",IF(H708&lt;&gt;"",H708+Assumptions!$B$6,C708+Assumptions!$B$8+Assumptions!$B$6))</f>
        <v/>
      </c>
      <c r="N708" s="20" t="str">
        <f aca="false">IF(K708="","",IF(K708&lt;0,IF(H708&lt;&gt;"",H708+Assumptions!$B$7,C708+Assumptions!$B$8+Assumptions!$B$7),M708))</f>
        <v/>
      </c>
      <c r="O708" s="21" t="str">
        <f aca="false">IF(N708="","",N708-Assumptions!$D$5)</f>
        <v/>
      </c>
      <c r="P708" s="22"/>
      <c r="Q708" s="22"/>
      <c r="R708" s="18" t="str">
        <f aca="false">IF(Q708="","",Q708*IF(LEFT(L708,7)="Phase 1",Assumptions!$B$11,Assumptions!$B$12))</f>
        <v/>
      </c>
    </row>
    <row r="709" customFormat="false" ht="15" hidden="false" customHeight="true" outlineLevel="0" collapsed="false">
      <c r="C709" s="24"/>
      <c r="F709" s="22"/>
      <c r="G709" s="23"/>
      <c r="H709" s="24"/>
      <c r="J709" s="18" t="str">
        <f aca="false">IF(F709="","",F709*G709)</f>
        <v/>
      </c>
      <c r="K709" s="5" t="str">
        <f aca="false">IF(A709="","",IF(H709&lt;&gt;"",Assumptions!$D$5-H709,IF(C709="","",Assumptions!$D$5-(C709+Assumptions!$B$8))))</f>
        <v/>
      </c>
      <c r="L709" s="5" t="str">
        <f aca="false">IF(K709="","",IF(K709&lt;0,"Phase 1 (unliquidated)",IF(K709&lt;=Assumptions!$B$7,"Phase 1 (recently liquidated)",IF(K709&lt;=Assumptions!$B$6,"Protest required","Deadline passed — litigation only"))))</f>
        <v/>
      </c>
      <c r="M709" s="20" t="str">
        <f aca="false">IF(K709="","",IF(H709&lt;&gt;"",H709+Assumptions!$B$6,C709+Assumptions!$B$8+Assumptions!$B$6))</f>
        <v/>
      </c>
      <c r="N709" s="20" t="str">
        <f aca="false">IF(K709="","",IF(K709&lt;0,IF(H709&lt;&gt;"",H709+Assumptions!$B$7,C709+Assumptions!$B$8+Assumptions!$B$7),M709))</f>
        <v/>
      </c>
      <c r="O709" s="21" t="str">
        <f aca="false">IF(N709="","",N709-Assumptions!$D$5)</f>
        <v/>
      </c>
      <c r="P709" s="22"/>
      <c r="Q709" s="22"/>
      <c r="R709" s="18" t="str">
        <f aca="false">IF(Q709="","",Q709*IF(LEFT(L709,7)="Phase 1",Assumptions!$B$11,Assumptions!$B$12))</f>
        <v/>
      </c>
    </row>
    <row r="710" customFormat="false" ht="15" hidden="false" customHeight="true" outlineLevel="0" collapsed="false">
      <c r="C710" s="24"/>
      <c r="F710" s="22"/>
      <c r="G710" s="23"/>
      <c r="H710" s="24"/>
      <c r="J710" s="18" t="str">
        <f aca="false">IF(F710="","",F710*G710)</f>
        <v/>
      </c>
      <c r="K710" s="5" t="str">
        <f aca="false">IF(A710="","",IF(H710&lt;&gt;"",Assumptions!$D$5-H710,IF(C710="","",Assumptions!$D$5-(C710+Assumptions!$B$8))))</f>
        <v/>
      </c>
      <c r="L710" s="5" t="str">
        <f aca="false">IF(K710="","",IF(K710&lt;0,"Phase 1 (unliquidated)",IF(K710&lt;=Assumptions!$B$7,"Phase 1 (recently liquidated)",IF(K710&lt;=Assumptions!$B$6,"Protest required","Deadline passed — litigation only"))))</f>
        <v/>
      </c>
      <c r="M710" s="20" t="str">
        <f aca="false">IF(K710="","",IF(H710&lt;&gt;"",H710+Assumptions!$B$6,C710+Assumptions!$B$8+Assumptions!$B$6))</f>
        <v/>
      </c>
      <c r="N710" s="20" t="str">
        <f aca="false">IF(K710="","",IF(K710&lt;0,IF(H710&lt;&gt;"",H710+Assumptions!$B$7,C710+Assumptions!$B$8+Assumptions!$B$7),M710))</f>
        <v/>
      </c>
      <c r="O710" s="21" t="str">
        <f aca="false">IF(N710="","",N710-Assumptions!$D$5)</f>
        <v/>
      </c>
      <c r="P710" s="22"/>
      <c r="Q710" s="22"/>
      <c r="R710" s="18" t="str">
        <f aca="false">IF(Q710="","",Q710*IF(LEFT(L710,7)="Phase 1",Assumptions!$B$11,Assumptions!$B$12))</f>
        <v/>
      </c>
    </row>
    <row r="711" customFormat="false" ht="15" hidden="false" customHeight="true" outlineLevel="0" collapsed="false">
      <c r="C711" s="24"/>
      <c r="F711" s="22"/>
      <c r="G711" s="23"/>
      <c r="H711" s="24"/>
      <c r="J711" s="18" t="str">
        <f aca="false">IF(F711="","",F711*G711)</f>
        <v/>
      </c>
      <c r="K711" s="5" t="str">
        <f aca="false">IF(A711="","",IF(H711&lt;&gt;"",Assumptions!$D$5-H711,IF(C711="","",Assumptions!$D$5-(C711+Assumptions!$B$8))))</f>
        <v/>
      </c>
      <c r="L711" s="5" t="str">
        <f aca="false">IF(K711="","",IF(K711&lt;0,"Phase 1 (unliquidated)",IF(K711&lt;=Assumptions!$B$7,"Phase 1 (recently liquidated)",IF(K711&lt;=Assumptions!$B$6,"Protest required","Deadline passed — litigation only"))))</f>
        <v/>
      </c>
      <c r="M711" s="20" t="str">
        <f aca="false">IF(K711="","",IF(H711&lt;&gt;"",H711+Assumptions!$B$6,C711+Assumptions!$B$8+Assumptions!$B$6))</f>
        <v/>
      </c>
      <c r="N711" s="20" t="str">
        <f aca="false">IF(K711="","",IF(K711&lt;0,IF(H711&lt;&gt;"",H711+Assumptions!$B$7,C711+Assumptions!$B$8+Assumptions!$B$7),M711))</f>
        <v/>
      </c>
      <c r="O711" s="21" t="str">
        <f aca="false">IF(N711="","",N711-Assumptions!$D$5)</f>
        <v/>
      </c>
      <c r="P711" s="22"/>
      <c r="Q711" s="22"/>
      <c r="R711" s="18" t="str">
        <f aca="false">IF(Q711="","",Q711*IF(LEFT(L711,7)="Phase 1",Assumptions!$B$11,Assumptions!$B$12))</f>
        <v/>
      </c>
    </row>
    <row r="712" customFormat="false" ht="15" hidden="false" customHeight="true" outlineLevel="0" collapsed="false">
      <c r="C712" s="24"/>
      <c r="F712" s="22"/>
      <c r="G712" s="23"/>
      <c r="H712" s="24"/>
      <c r="J712" s="18" t="str">
        <f aca="false">IF(F712="","",F712*G712)</f>
        <v/>
      </c>
      <c r="K712" s="5" t="str">
        <f aca="false">IF(A712="","",IF(H712&lt;&gt;"",Assumptions!$D$5-H712,IF(C712="","",Assumptions!$D$5-(C712+Assumptions!$B$8))))</f>
        <v/>
      </c>
      <c r="L712" s="5" t="str">
        <f aca="false">IF(K712="","",IF(K712&lt;0,"Phase 1 (unliquidated)",IF(K712&lt;=Assumptions!$B$7,"Phase 1 (recently liquidated)",IF(K712&lt;=Assumptions!$B$6,"Protest required","Deadline passed — litigation only"))))</f>
        <v/>
      </c>
      <c r="M712" s="20" t="str">
        <f aca="false">IF(K712="","",IF(H712&lt;&gt;"",H712+Assumptions!$B$6,C712+Assumptions!$B$8+Assumptions!$B$6))</f>
        <v/>
      </c>
      <c r="N712" s="20" t="str">
        <f aca="false">IF(K712="","",IF(K712&lt;0,IF(H712&lt;&gt;"",H712+Assumptions!$B$7,C712+Assumptions!$B$8+Assumptions!$B$7),M712))</f>
        <v/>
      </c>
      <c r="O712" s="21" t="str">
        <f aca="false">IF(N712="","",N712-Assumptions!$D$5)</f>
        <v/>
      </c>
      <c r="P712" s="22"/>
      <c r="Q712" s="22"/>
      <c r="R712" s="18" t="str">
        <f aca="false">IF(Q712="","",Q712*IF(LEFT(L712,7)="Phase 1",Assumptions!$B$11,Assumptions!$B$12))</f>
        <v/>
      </c>
    </row>
    <row r="713" customFormat="false" ht="15" hidden="false" customHeight="true" outlineLevel="0" collapsed="false">
      <c r="C713" s="24"/>
      <c r="F713" s="22"/>
      <c r="G713" s="23"/>
      <c r="H713" s="24"/>
      <c r="J713" s="18" t="str">
        <f aca="false">IF(F713="","",F713*G713)</f>
        <v/>
      </c>
      <c r="K713" s="5" t="str">
        <f aca="false">IF(A713="","",IF(H713&lt;&gt;"",Assumptions!$D$5-H713,IF(C713="","",Assumptions!$D$5-(C713+Assumptions!$B$8))))</f>
        <v/>
      </c>
      <c r="L713" s="5" t="str">
        <f aca="false">IF(K713="","",IF(K713&lt;0,"Phase 1 (unliquidated)",IF(K713&lt;=Assumptions!$B$7,"Phase 1 (recently liquidated)",IF(K713&lt;=Assumptions!$B$6,"Protest required","Deadline passed — litigation only"))))</f>
        <v/>
      </c>
      <c r="M713" s="20" t="str">
        <f aca="false">IF(K713="","",IF(H713&lt;&gt;"",H713+Assumptions!$B$6,C713+Assumptions!$B$8+Assumptions!$B$6))</f>
        <v/>
      </c>
      <c r="N713" s="20" t="str">
        <f aca="false">IF(K713="","",IF(K713&lt;0,IF(H713&lt;&gt;"",H713+Assumptions!$B$7,C713+Assumptions!$B$8+Assumptions!$B$7),M713))</f>
        <v/>
      </c>
      <c r="O713" s="21" t="str">
        <f aca="false">IF(N713="","",N713-Assumptions!$D$5)</f>
        <v/>
      </c>
      <c r="P713" s="22"/>
      <c r="Q713" s="22"/>
      <c r="R713" s="18" t="str">
        <f aca="false">IF(Q713="","",Q713*IF(LEFT(L713,7)="Phase 1",Assumptions!$B$11,Assumptions!$B$12))</f>
        <v/>
      </c>
    </row>
    <row r="714" customFormat="false" ht="15" hidden="false" customHeight="true" outlineLevel="0" collapsed="false">
      <c r="C714" s="24"/>
      <c r="F714" s="22"/>
      <c r="G714" s="23"/>
      <c r="H714" s="24"/>
      <c r="J714" s="18" t="str">
        <f aca="false">IF(F714="","",F714*G714)</f>
        <v/>
      </c>
      <c r="K714" s="5" t="str">
        <f aca="false">IF(A714="","",IF(H714&lt;&gt;"",Assumptions!$D$5-H714,IF(C714="","",Assumptions!$D$5-(C714+Assumptions!$B$8))))</f>
        <v/>
      </c>
      <c r="L714" s="5" t="str">
        <f aca="false">IF(K714="","",IF(K714&lt;0,"Phase 1 (unliquidated)",IF(K714&lt;=Assumptions!$B$7,"Phase 1 (recently liquidated)",IF(K714&lt;=Assumptions!$B$6,"Protest required","Deadline passed — litigation only"))))</f>
        <v/>
      </c>
      <c r="M714" s="20" t="str">
        <f aca="false">IF(K714="","",IF(H714&lt;&gt;"",H714+Assumptions!$B$6,C714+Assumptions!$B$8+Assumptions!$B$6))</f>
        <v/>
      </c>
      <c r="N714" s="20" t="str">
        <f aca="false">IF(K714="","",IF(K714&lt;0,IF(H714&lt;&gt;"",H714+Assumptions!$B$7,C714+Assumptions!$B$8+Assumptions!$B$7),M714))</f>
        <v/>
      </c>
      <c r="O714" s="21" t="str">
        <f aca="false">IF(N714="","",N714-Assumptions!$D$5)</f>
        <v/>
      </c>
      <c r="P714" s="22"/>
      <c r="Q714" s="22"/>
      <c r="R714" s="18" t="str">
        <f aca="false">IF(Q714="","",Q714*IF(LEFT(L714,7)="Phase 1",Assumptions!$B$11,Assumptions!$B$12))</f>
        <v/>
      </c>
    </row>
    <row r="715" customFormat="false" ht="15" hidden="false" customHeight="true" outlineLevel="0" collapsed="false">
      <c r="C715" s="24"/>
      <c r="F715" s="22"/>
      <c r="G715" s="23"/>
      <c r="H715" s="24"/>
      <c r="J715" s="18" t="str">
        <f aca="false">IF(F715="","",F715*G715)</f>
        <v/>
      </c>
      <c r="K715" s="5" t="str">
        <f aca="false">IF(A715="","",IF(H715&lt;&gt;"",Assumptions!$D$5-H715,IF(C715="","",Assumptions!$D$5-(C715+Assumptions!$B$8))))</f>
        <v/>
      </c>
      <c r="L715" s="5" t="str">
        <f aca="false">IF(K715="","",IF(K715&lt;0,"Phase 1 (unliquidated)",IF(K715&lt;=Assumptions!$B$7,"Phase 1 (recently liquidated)",IF(K715&lt;=Assumptions!$B$6,"Protest required","Deadline passed — litigation only"))))</f>
        <v/>
      </c>
      <c r="M715" s="20" t="str">
        <f aca="false">IF(K715="","",IF(H715&lt;&gt;"",H715+Assumptions!$B$6,C715+Assumptions!$B$8+Assumptions!$B$6))</f>
        <v/>
      </c>
      <c r="N715" s="20" t="str">
        <f aca="false">IF(K715="","",IF(K715&lt;0,IF(H715&lt;&gt;"",H715+Assumptions!$B$7,C715+Assumptions!$B$8+Assumptions!$B$7),M715))</f>
        <v/>
      </c>
      <c r="O715" s="21" t="str">
        <f aca="false">IF(N715="","",N715-Assumptions!$D$5)</f>
        <v/>
      </c>
      <c r="P715" s="22"/>
      <c r="Q715" s="22"/>
      <c r="R715" s="18" t="str">
        <f aca="false">IF(Q715="","",Q715*IF(LEFT(L715,7)="Phase 1",Assumptions!$B$11,Assumptions!$B$12))</f>
        <v/>
      </c>
    </row>
    <row r="716" customFormat="false" ht="15" hidden="false" customHeight="true" outlineLevel="0" collapsed="false">
      <c r="C716" s="24"/>
      <c r="F716" s="22"/>
      <c r="G716" s="23"/>
      <c r="H716" s="24"/>
      <c r="J716" s="18" t="str">
        <f aca="false">IF(F716="","",F716*G716)</f>
        <v/>
      </c>
      <c r="K716" s="5" t="str">
        <f aca="false">IF(A716="","",IF(H716&lt;&gt;"",Assumptions!$D$5-H716,IF(C716="","",Assumptions!$D$5-(C716+Assumptions!$B$8))))</f>
        <v/>
      </c>
      <c r="L716" s="5" t="str">
        <f aca="false">IF(K716="","",IF(K716&lt;0,"Phase 1 (unliquidated)",IF(K716&lt;=Assumptions!$B$7,"Phase 1 (recently liquidated)",IF(K716&lt;=Assumptions!$B$6,"Protest required","Deadline passed — litigation only"))))</f>
        <v/>
      </c>
      <c r="M716" s="20" t="str">
        <f aca="false">IF(K716="","",IF(H716&lt;&gt;"",H716+Assumptions!$B$6,C716+Assumptions!$B$8+Assumptions!$B$6))</f>
        <v/>
      </c>
      <c r="N716" s="20" t="str">
        <f aca="false">IF(K716="","",IF(K716&lt;0,IF(H716&lt;&gt;"",H716+Assumptions!$B$7,C716+Assumptions!$B$8+Assumptions!$B$7),M716))</f>
        <v/>
      </c>
      <c r="O716" s="21" t="str">
        <f aca="false">IF(N716="","",N716-Assumptions!$D$5)</f>
        <v/>
      </c>
      <c r="P716" s="22"/>
      <c r="Q716" s="22"/>
      <c r="R716" s="18" t="str">
        <f aca="false">IF(Q716="","",Q716*IF(LEFT(L716,7)="Phase 1",Assumptions!$B$11,Assumptions!$B$12))</f>
        <v/>
      </c>
    </row>
    <row r="717" customFormat="false" ht="15" hidden="false" customHeight="true" outlineLevel="0" collapsed="false">
      <c r="C717" s="24"/>
      <c r="F717" s="22"/>
      <c r="G717" s="23"/>
      <c r="H717" s="24"/>
      <c r="J717" s="18" t="str">
        <f aca="false">IF(F717="","",F717*G717)</f>
        <v/>
      </c>
      <c r="K717" s="5" t="str">
        <f aca="false">IF(A717="","",IF(H717&lt;&gt;"",Assumptions!$D$5-H717,IF(C717="","",Assumptions!$D$5-(C717+Assumptions!$B$8))))</f>
        <v/>
      </c>
      <c r="L717" s="5" t="str">
        <f aca="false">IF(K717="","",IF(K717&lt;0,"Phase 1 (unliquidated)",IF(K717&lt;=Assumptions!$B$7,"Phase 1 (recently liquidated)",IF(K717&lt;=Assumptions!$B$6,"Protest required","Deadline passed — litigation only"))))</f>
        <v/>
      </c>
      <c r="M717" s="20" t="str">
        <f aca="false">IF(K717="","",IF(H717&lt;&gt;"",H717+Assumptions!$B$6,C717+Assumptions!$B$8+Assumptions!$B$6))</f>
        <v/>
      </c>
      <c r="N717" s="20" t="str">
        <f aca="false">IF(K717="","",IF(K717&lt;0,IF(H717&lt;&gt;"",H717+Assumptions!$B$7,C717+Assumptions!$B$8+Assumptions!$B$7),M717))</f>
        <v/>
      </c>
      <c r="O717" s="21" t="str">
        <f aca="false">IF(N717="","",N717-Assumptions!$D$5)</f>
        <v/>
      </c>
      <c r="P717" s="22"/>
      <c r="Q717" s="22"/>
      <c r="R717" s="18" t="str">
        <f aca="false">IF(Q717="","",Q717*IF(LEFT(L717,7)="Phase 1",Assumptions!$B$11,Assumptions!$B$12))</f>
        <v/>
      </c>
    </row>
    <row r="718" customFormat="false" ht="15" hidden="false" customHeight="true" outlineLevel="0" collapsed="false">
      <c r="C718" s="24"/>
      <c r="F718" s="22"/>
      <c r="G718" s="23"/>
      <c r="H718" s="24"/>
      <c r="J718" s="18" t="str">
        <f aca="false">IF(F718="","",F718*G718)</f>
        <v/>
      </c>
      <c r="K718" s="5" t="str">
        <f aca="false">IF(A718="","",IF(H718&lt;&gt;"",Assumptions!$D$5-H718,IF(C718="","",Assumptions!$D$5-(C718+Assumptions!$B$8))))</f>
        <v/>
      </c>
      <c r="L718" s="5" t="str">
        <f aca="false">IF(K718="","",IF(K718&lt;0,"Phase 1 (unliquidated)",IF(K718&lt;=Assumptions!$B$7,"Phase 1 (recently liquidated)",IF(K718&lt;=Assumptions!$B$6,"Protest required","Deadline passed — litigation only"))))</f>
        <v/>
      </c>
      <c r="M718" s="20" t="str">
        <f aca="false">IF(K718="","",IF(H718&lt;&gt;"",H718+Assumptions!$B$6,C718+Assumptions!$B$8+Assumptions!$B$6))</f>
        <v/>
      </c>
      <c r="N718" s="20" t="str">
        <f aca="false">IF(K718="","",IF(K718&lt;0,IF(H718&lt;&gt;"",H718+Assumptions!$B$7,C718+Assumptions!$B$8+Assumptions!$B$7),M718))</f>
        <v/>
      </c>
      <c r="O718" s="21" t="str">
        <f aca="false">IF(N718="","",N718-Assumptions!$D$5)</f>
        <v/>
      </c>
      <c r="P718" s="22"/>
      <c r="Q718" s="22"/>
      <c r="R718" s="18" t="str">
        <f aca="false">IF(Q718="","",Q718*IF(LEFT(L718,7)="Phase 1",Assumptions!$B$11,Assumptions!$B$12))</f>
        <v/>
      </c>
    </row>
    <row r="719" customFormat="false" ht="15" hidden="false" customHeight="true" outlineLevel="0" collapsed="false">
      <c r="C719" s="24"/>
      <c r="F719" s="22"/>
      <c r="G719" s="23"/>
      <c r="H719" s="24"/>
      <c r="J719" s="18" t="str">
        <f aca="false">IF(F719="","",F719*G719)</f>
        <v/>
      </c>
      <c r="K719" s="5" t="str">
        <f aca="false">IF(A719="","",IF(H719&lt;&gt;"",Assumptions!$D$5-H719,IF(C719="","",Assumptions!$D$5-(C719+Assumptions!$B$8))))</f>
        <v/>
      </c>
      <c r="L719" s="5" t="str">
        <f aca="false">IF(K719="","",IF(K719&lt;0,"Phase 1 (unliquidated)",IF(K719&lt;=Assumptions!$B$7,"Phase 1 (recently liquidated)",IF(K719&lt;=Assumptions!$B$6,"Protest required","Deadline passed — litigation only"))))</f>
        <v/>
      </c>
      <c r="M719" s="20" t="str">
        <f aca="false">IF(K719="","",IF(H719&lt;&gt;"",H719+Assumptions!$B$6,C719+Assumptions!$B$8+Assumptions!$B$6))</f>
        <v/>
      </c>
      <c r="N719" s="20" t="str">
        <f aca="false">IF(K719="","",IF(K719&lt;0,IF(H719&lt;&gt;"",H719+Assumptions!$B$7,C719+Assumptions!$B$8+Assumptions!$B$7),M719))</f>
        <v/>
      </c>
      <c r="O719" s="21" t="str">
        <f aca="false">IF(N719="","",N719-Assumptions!$D$5)</f>
        <v/>
      </c>
      <c r="P719" s="22"/>
      <c r="Q719" s="22"/>
      <c r="R719" s="18" t="str">
        <f aca="false">IF(Q719="","",Q719*IF(LEFT(L719,7)="Phase 1",Assumptions!$B$11,Assumptions!$B$12))</f>
        <v/>
      </c>
    </row>
    <row r="720" customFormat="false" ht="15" hidden="false" customHeight="true" outlineLevel="0" collapsed="false">
      <c r="C720" s="24"/>
      <c r="F720" s="22"/>
      <c r="G720" s="23"/>
      <c r="H720" s="24"/>
      <c r="J720" s="18" t="str">
        <f aca="false">IF(F720="","",F720*G720)</f>
        <v/>
      </c>
      <c r="K720" s="5" t="str">
        <f aca="false">IF(A720="","",IF(H720&lt;&gt;"",Assumptions!$D$5-H720,IF(C720="","",Assumptions!$D$5-(C720+Assumptions!$B$8))))</f>
        <v/>
      </c>
      <c r="L720" s="5" t="str">
        <f aca="false">IF(K720="","",IF(K720&lt;0,"Phase 1 (unliquidated)",IF(K720&lt;=Assumptions!$B$7,"Phase 1 (recently liquidated)",IF(K720&lt;=Assumptions!$B$6,"Protest required","Deadline passed — litigation only"))))</f>
        <v/>
      </c>
      <c r="M720" s="20" t="str">
        <f aca="false">IF(K720="","",IF(H720&lt;&gt;"",H720+Assumptions!$B$6,C720+Assumptions!$B$8+Assumptions!$B$6))</f>
        <v/>
      </c>
      <c r="N720" s="20" t="str">
        <f aca="false">IF(K720="","",IF(K720&lt;0,IF(H720&lt;&gt;"",H720+Assumptions!$B$7,C720+Assumptions!$B$8+Assumptions!$B$7),M720))</f>
        <v/>
      </c>
      <c r="O720" s="21" t="str">
        <f aca="false">IF(N720="","",N720-Assumptions!$D$5)</f>
        <v/>
      </c>
      <c r="P720" s="22"/>
      <c r="Q720" s="22"/>
      <c r="R720" s="18" t="str">
        <f aca="false">IF(Q720="","",Q720*IF(LEFT(L720,7)="Phase 1",Assumptions!$B$11,Assumptions!$B$12))</f>
        <v/>
      </c>
    </row>
    <row r="721" customFormat="false" ht="15" hidden="false" customHeight="true" outlineLevel="0" collapsed="false">
      <c r="C721" s="24"/>
      <c r="F721" s="22"/>
      <c r="G721" s="23"/>
      <c r="H721" s="24"/>
      <c r="J721" s="18" t="str">
        <f aca="false">IF(F721="","",F721*G721)</f>
        <v/>
      </c>
      <c r="K721" s="5" t="str">
        <f aca="false">IF(A721="","",IF(H721&lt;&gt;"",Assumptions!$D$5-H721,IF(C721="","",Assumptions!$D$5-(C721+Assumptions!$B$8))))</f>
        <v/>
      </c>
      <c r="L721" s="5" t="str">
        <f aca="false">IF(K721="","",IF(K721&lt;0,"Phase 1 (unliquidated)",IF(K721&lt;=Assumptions!$B$7,"Phase 1 (recently liquidated)",IF(K721&lt;=Assumptions!$B$6,"Protest required","Deadline passed — litigation only"))))</f>
        <v/>
      </c>
      <c r="M721" s="20" t="str">
        <f aca="false">IF(K721="","",IF(H721&lt;&gt;"",H721+Assumptions!$B$6,C721+Assumptions!$B$8+Assumptions!$B$6))</f>
        <v/>
      </c>
      <c r="N721" s="20" t="str">
        <f aca="false">IF(K721="","",IF(K721&lt;0,IF(H721&lt;&gt;"",H721+Assumptions!$B$7,C721+Assumptions!$B$8+Assumptions!$B$7),M721))</f>
        <v/>
      </c>
      <c r="O721" s="21" t="str">
        <f aca="false">IF(N721="","",N721-Assumptions!$D$5)</f>
        <v/>
      </c>
      <c r="P721" s="22"/>
      <c r="Q721" s="22"/>
      <c r="R721" s="18" t="str">
        <f aca="false">IF(Q721="","",Q721*IF(LEFT(L721,7)="Phase 1",Assumptions!$B$11,Assumptions!$B$12))</f>
        <v/>
      </c>
    </row>
    <row r="722" customFormat="false" ht="15" hidden="false" customHeight="true" outlineLevel="0" collapsed="false">
      <c r="C722" s="24"/>
      <c r="F722" s="22"/>
      <c r="G722" s="23"/>
      <c r="H722" s="24"/>
      <c r="J722" s="18" t="str">
        <f aca="false">IF(F722="","",F722*G722)</f>
        <v/>
      </c>
      <c r="K722" s="5" t="str">
        <f aca="false">IF(A722="","",IF(H722&lt;&gt;"",Assumptions!$D$5-H722,IF(C722="","",Assumptions!$D$5-(C722+Assumptions!$B$8))))</f>
        <v/>
      </c>
      <c r="L722" s="5" t="str">
        <f aca="false">IF(K722="","",IF(K722&lt;0,"Phase 1 (unliquidated)",IF(K722&lt;=Assumptions!$B$7,"Phase 1 (recently liquidated)",IF(K722&lt;=Assumptions!$B$6,"Protest required","Deadline passed — litigation only"))))</f>
        <v/>
      </c>
      <c r="M722" s="20" t="str">
        <f aca="false">IF(K722="","",IF(H722&lt;&gt;"",H722+Assumptions!$B$6,C722+Assumptions!$B$8+Assumptions!$B$6))</f>
        <v/>
      </c>
      <c r="N722" s="20" t="str">
        <f aca="false">IF(K722="","",IF(K722&lt;0,IF(H722&lt;&gt;"",H722+Assumptions!$B$7,C722+Assumptions!$B$8+Assumptions!$B$7),M722))</f>
        <v/>
      </c>
      <c r="O722" s="21" t="str">
        <f aca="false">IF(N722="","",N722-Assumptions!$D$5)</f>
        <v/>
      </c>
      <c r="P722" s="22"/>
      <c r="Q722" s="22"/>
      <c r="R722" s="18" t="str">
        <f aca="false">IF(Q722="","",Q722*IF(LEFT(L722,7)="Phase 1",Assumptions!$B$11,Assumptions!$B$12))</f>
        <v/>
      </c>
    </row>
    <row r="723" customFormat="false" ht="15" hidden="false" customHeight="true" outlineLevel="0" collapsed="false">
      <c r="C723" s="24"/>
      <c r="F723" s="22"/>
      <c r="G723" s="23"/>
      <c r="H723" s="24"/>
      <c r="J723" s="18" t="str">
        <f aca="false">IF(F723="","",F723*G723)</f>
        <v/>
      </c>
      <c r="K723" s="5" t="str">
        <f aca="false">IF(A723="","",IF(H723&lt;&gt;"",Assumptions!$D$5-H723,IF(C723="","",Assumptions!$D$5-(C723+Assumptions!$B$8))))</f>
        <v/>
      </c>
      <c r="L723" s="5" t="str">
        <f aca="false">IF(K723="","",IF(K723&lt;0,"Phase 1 (unliquidated)",IF(K723&lt;=Assumptions!$B$7,"Phase 1 (recently liquidated)",IF(K723&lt;=Assumptions!$B$6,"Protest required","Deadline passed — litigation only"))))</f>
        <v/>
      </c>
      <c r="M723" s="20" t="str">
        <f aca="false">IF(K723="","",IF(H723&lt;&gt;"",H723+Assumptions!$B$6,C723+Assumptions!$B$8+Assumptions!$B$6))</f>
        <v/>
      </c>
      <c r="N723" s="20" t="str">
        <f aca="false">IF(K723="","",IF(K723&lt;0,IF(H723&lt;&gt;"",H723+Assumptions!$B$7,C723+Assumptions!$B$8+Assumptions!$B$7),M723))</f>
        <v/>
      </c>
      <c r="O723" s="21" t="str">
        <f aca="false">IF(N723="","",N723-Assumptions!$D$5)</f>
        <v/>
      </c>
      <c r="P723" s="22"/>
      <c r="Q723" s="22"/>
      <c r="R723" s="18" t="str">
        <f aca="false">IF(Q723="","",Q723*IF(LEFT(L723,7)="Phase 1",Assumptions!$B$11,Assumptions!$B$12))</f>
        <v/>
      </c>
    </row>
    <row r="724" customFormat="false" ht="15" hidden="false" customHeight="true" outlineLevel="0" collapsed="false">
      <c r="C724" s="24"/>
      <c r="F724" s="22"/>
      <c r="G724" s="23"/>
      <c r="H724" s="24"/>
      <c r="J724" s="18" t="str">
        <f aca="false">IF(F724="","",F724*G724)</f>
        <v/>
      </c>
      <c r="K724" s="5" t="str">
        <f aca="false">IF(A724="","",IF(H724&lt;&gt;"",Assumptions!$D$5-H724,IF(C724="","",Assumptions!$D$5-(C724+Assumptions!$B$8))))</f>
        <v/>
      </c>
      <c r="L724" s="5" t="str">
        <f aca="false">IF(K724="","",IF(K724&lt;0,"Phase 1 (unliquidated)",IF(K724&lt;=Assumptions!$B$7,"Phase 1 (recently liquidated)",IF(K724&lt;=Assumptions!$B$6,"Protest required","Deadline passed — litigation only"))))</f>
        <v/>
      </c>
      <c r="M724" s="20" t="str">
        <f aca="false">IF(K724="","",IF(H724&lt;&gt;"",H724+Assumptions!$B$6,C724+Assumptions!$B$8+Assumptions!$B$6))</f>
        <v/>
      </c>
      <c r="N724" s="20" t="str">
        <f aca="false">IF(K724="","",IF(K724&lt;0,IF(H724&lt;&gt;"",H724+Assumptions!$B$7,C724+Assumptions!$B$8+Assumptions!$B$7),M724))</f>
        <v/>
      </c>
      <c r="O724" s="21" t="str">
        <f aca="false">IF(N724="","",N724-Assumptions!$D$5)</f>
        <v/>
      </c>
      <c r="P724" s="22"/>
      <c r="Q724" s="22"/>
      <c r="R724" s="18" t="str">
        <f aca="false">IF(Q724="","",Q724*IF(LEFT(L724,7)="Phase 1",Assumptions!$B$11,Assumptions!$B$12))</f>
        <v/>
      </c>
    </row>
    <row r="725" customFormat="false" ht="15" hidden="false" customHeight="true" outlineLevel="0" collapsed="false">
      <c r="C725" s="24"/>
      <c r="F725" s="22"/>
      <c r="G725" s="23"/>
      <c r="H725" s="24"/>
      <c r="J725" s="18" t="str">
        <f aca="false">IF(F725="","",F725*G725)</f>
        <v/>
      </c>
      <c r="K725" s="5" t="str">
        <f aca="false">IF(A725="","",IF(H725&lt;&gt;"",Assumptions!$D$5-H725,IF(C725="","",Assumptions!$D$5-(C725+Assumptions!$B$8))))</f>
        <v/>
      </c>
      <c r="L725" s="5" t="str">
        <f aca="false">IF(K725="","",IF(K725&lt;0,"Phase 1 (unliquidated)",IF(K725&lt;=Assumptions!$B$7,"Phase 1 (recently liquidated)",IF(K725&lt;=Assumptions!$B$6,"Protest required","Deadline passed — litigation only"))))</f>
        <v/>
      </c>
      <c r="M725" s="20" t="str">
        <f aca="false">IF(K725="","",IF(H725&lt;&gt;"",H725+Assumptions!$B$6,C725+Assumptions!$B$8+Assumptions!$B$6))</f>
        <v/>
      </c>
      <c r="N725" s="20" t="str">
        <f aca="false">IF(K725="","",IF(K725&lt;0,IF(H725&lt;&gt;"",H725+Assumptions!$B$7,C725+Assumptions!$B$8+Assumptions!$B$7),M725))</f>
        <v/>
      </c>
      <c r="O725" s="21" t="str">
        <f aca="false">IF(N725="","",N725-Assumptions!$D$5)</f>
        <v/>
      </c>
      <c r="P725" s="22"/>
      <c r="Q725" s="22"/>
      <c r="R725" s="18" t="str">
        <f aca="false">IF(Q725="","",Q725*IF(LEFT(L725,7)="Phase 1",Assumptions!$B$11,Assumptions!$B$12))</f>
        <v/>
      </c>
    </row>
    <row r="726" customFormat="false" ht="15" hidden="false" customHeight="true" outlineLevel="0" collapsed="false">
      <c r="C726" s="24"/>
      <c r="F726" s="22"/>
      <c r="G726" s="23"/>
      <c r="H726" s="24"/>
      <c r="J726" s="18" t="str">
        <f aca="false">IF(F726="","",F726*G726)</f>
        <v/>
      </c>
      <c r="K726" s="5" t="str">
        <f aca="false">IF(A726="","",IF(H726&lt;&gt;"",Assumptions!$D$5-H726,IF(C726="","",Assumptions!$D$5-(C726+Assumptions!$B$8))))</f>
        <v/>
      </c>
      <c r="L726" s="5" t="str">
        <f aca="false">IF(K726="","",IF(K726&lt;0,"Phase 1 (unliquidated)",IF(K726&lt;=Assumptions!$B$7,"Phase 1 (recently liquidated)",IF(K726&lt;=Assumptions!$B$6,"Protest required","Deadline passed — litigation only"))))</f>
        <v/>
      </c>
      <c r="M726" s="20" t="str">
        <f aca="false">IF(K726="","",IF(H726&lt;&gt;"",H726+Assumptions!$B$6,C726+Assumptions!$B$8+Assumptions!$B$6))</f>
        <v/>
      </c>
      <c r="N726" s="20" t="str">
        <f aca="false">IF(K726="","",IF(K726&lt;0,IF(H726&lt;&gt;"",H726+Assumptions!$B$7,C726+Assumptions!$B$8+Assumptions!$B$7),M726))</f>
        <v/>
      </c>
      <c r="O726" s="21" t="str">
        <f aca="false">IF(N726="","",N726-Assumptions!$D$5)</f>
        <v/>
      </c>
      <c r="P726" s="22"/>
      <c r="Q726" s="22"/>
      <c r="R726" s="18" t="str">
        <f aca="false">IF(Q726="","",Q726*IF(LEFT(L726,7)="Phase 1",Assumptions!$B$11,Assumptions!$B$12))</f>
        <v/>
      </c>
    </row>
    <row r="727" customFormat="false" ht="15" hidden="false" customHeight="true" outlineLevel="0" collapsed="false">
      <c r="C727" s="24"/>
      <c r="F727" s="22"/>
      <c r="G727" s="23"/>
      <c r="H727" s="24"/>
      <c r="J727" s="18" t="str">
        <f aca="false">IF(F727="","",F727*G727)</f>
        <v/>
      </c>
      <c r="K727" s="5" t="str">
        <f aca="false">IF(A727="","",IF(H727&lt;&gt;"",Assumptions!$D$5-H727,IF(C727="","",Assumptions!$D$5-(C727+Assumptions!$B$8))))</f>
        <v/>
      </c>
      <c r="L727" s="5" t="str">
        <f aca="false">IF(K727="","",IF(K727&lt;0,"Phase 1 (unliquidated)",IF(K727&lt;=Assumptions!$B$7,"Phase 1 (recently liquidated)",IF(K727&lt;=Assumptions!$B$6,"Protest required","Deadline passed — litigation only"))))</f>
        <v/>
      </c>
      <c r="M727" s="20" t="str">
        <f aca="false">IF(K727="","",IF(H727&lt;&gt;"",H727+Assumptions!$B$6,C727+Assumptions!$B$8+Assumptions!$B$6))</f>
        <v/>
      </c>
      <c r="N727" s="20" t="str">
        <f aca="false">IF(K727="","",IF(K727&lt;0,IF(H727&lt;&gt;"",H727+Assumptions!$B$7,C727+Assumptions!$B$8+Assumptions!$B$7),M727))</f>
        <v/>
      </c>
      <c r="O727" s="21" t="str">
        <f aca="false">IF(N727="","",N727-Assumptions!$D$5)</f>
        <v/>
      </c>
      <c r="P727" s="22"/>
      <c r="Q727" s="22"/>
      <c r="R727" s="18" t="str">
        <f aca="false">IF(Q727="","",Q727*IF(LEFT(L727,7)="Phase 1",Assumptions!$B$11,Assumptions!$B$12))</f>
        <v/>
      </c>
    </row>
    <row r="728" customFormat="false" ht="15" hidden="false" customHeight="true" outlineLevel="0" collapsed="false">
      <c r="C728" s="24"/>
      <c r="F728" s="22"/>
      <c r="G728" s="23"/>
      <c r="H728" s="24"/>
      <c r="J728" s="18" t="str">
        <f aca="false">IF(F728="","",F728*G728)</f>
        <v/>
      </c>
      <c r="K728" s="5" t="str">
        <f aca="false">IF(A728="","",IF(H728&lt;&gt;"",Assumptions!$D$5-H728,IF(C728="","",Assumptions!$D$5-(C728+Assumptions!$B$8))))</f>
        <v/>
      </c>
      <c r="L728" s="5" t="str">
        <f aca="false">IF(K728="","",IF(K728&lt;0,"Phase 1 (unliquidated)",IF(K728&lt;=Assumptions!$B$7,"Phase 1 (recently liquidated)",IF(K728&lt;=Assumptions!$B$6,"Protest required","Deadline passed — litigation only"))))</f>
        <v/>
      </c>
      <c r="M728" s="20" t="str">
        <f aca="false">IF(K728="","",IF(H728&lt;&gt;"",H728+Assumptions!$B$6,C728+Assumptions!$B$8+Assumptions!$B$6))</f>
        <v/>
      </c>
      <c r="N728" s="20" t="str">
        <f aca="false">IF(K728="","",IF(K728&lt;0,IF(H728&lt;&gt;"",H728+Assumptions!$B$7,C728+Assumptions!$B$8+Assumptions!$B$7),M728))</f>
        <v/>
      </c>
      <c r="O728" s="21" t="str">
        <f aca="false">IF(N728="","",N728-Assumptions!$D$5)</f>
        <v/>
      </c>
      <c r="P728" s="22"/>
      <c r="Q728" s="22"/>
      <c r="R728" s="18" t="str">
        <f aca="false">IF(Q728="","",Q728*IF(LEFT(L728,7)="Phase 1",Assumptions!$B$11,Assumptions!$B$12))</f>
        <v/>
      </c>
    </row>
    <row r="729" customFormat="false" ht="15" hidden="false" customHeight="true" outlineLevel="0" collapsed="false">
      <c r="C729" s="24"/>
      <c r="F729" s="22"/>
      <c r="G729" s="23"/>
      <c r="H729" s="24"/>
      <c r="J729" s="18" t="str">
        <f aca="false">IF(F729="","",F729*G729)</f>
        <v/>
      </c>
      <c r="K729" s="5" t="str">
        <f aca="false">IF(A729="","",IF(H729&lt;&gt;"",Assumptions!$D$5-H729,IF(C729="","",Assumptions!$D$5-(C729+Assumptions!$B$8))))</f>
        <v/>
      </c>
      <c r="L729" s="5" t="str">
        <f aca="false">IF(K729="","",IF(K729&lt;0,"Phase 1 (unliquidated)",IF(K729&lt;=Assumptions!$B$7,"Phase 1 (recently liquidated)",IF(K729&lt;=Assumptions!$B$6,"Protest required","Deadline passed — litigation only"))))</f>
        <v/>
      </c>
      <c r="M729" s="20" t="str">
        <f aca="false">IF(K729="","",IF(H729&lt;&gt;"",H729+Assumptions!$B$6,C729+Assumptions!$B$8+Assumptions!$B$6))</f>
        <v/>
      </c>
      <c r="N729" s="20" t="str">
        <f aca="false">IF(K729="","",IF(K729&lt;0,IF(H729&lt;&gt;"",H729+Assumptions!$B$7,C729+Assumptions!$B$8+Assumptions!$B$7),M729))</f>
        <v/>
      </c>
      <c r="O729" s="21" t="str">
        <f aca="false">IF(N729="","",N729-Assumptions!$D$5)</f>
        <v/>
      </c>
      <c r="P729" s="22"/>
      <c r="Q729" s="22"/>
      <c r="R729" s="18" t="str">
        <f aca="false">IF(Q729="","",Q729*IF(LEFT(L729,7)="Phase 1",Assumptions!$B$11,Assumptions!$B$12))</f>
        <v/>
      </c>
    </row>
    <row r="730" customFormat="false" ht="15" hidden="false" customHeight="true" outlineLevel="0" collapsed="false">
      <c r="C730" s="24"/>
      <c r="F730" s="22"/>
      <c r="G730" s="23"/>
      <c r="H730" s="24"/>
      <c r="J730" s="18" t="str">
        <f aca="false">IF(F730="","",F730*G730)</f>
        <v/>
      </c>
      <c r="K730" s="5" t="str">
        <f aca="false">IF(A730="","",IF(H730&lt;&gt;"",Assumptions!$D$5-H730,IF(C730="","",Assumptions!$D$5-(C730+Assumptions!$B$8))))</f>
        <v/>
      </c>
      <c r="L730" s="5" t="str">
        <f aca="false">IF(K730="","",IF(K730&lt;0,"Phase 1 (unliquidated)",IF(K730&lt;=Assumptions!$B$7,"Phase 1 (recently liquidated)",IF(K730&lt;=Assumptions!$B$6,"Protest required","Deadline passed — litigation only"))))</f>
        <v/>
      </c>
      <c r="M730" s="20" t="str">
        <f aca="false">IF(K730="","",IF(H730&lt;&gt;"",H730+Assumptions!$B$6,C730+Assumptions!$B$8+Assumptions!$B$6))</f>
        <v/>
      </c>
      <c r="N730" s="20" t="str">
        <f aca="false">IF(K730="","",IF(K730&lt;0,IF(H730&lt;&gt;"",H730+Assumptions!$B$7,C730+Assumptions!$B$8+Assumptions!$B$7),M730))</f>
        <v/>
      </c>
      <c r="O730" s="21" t="str">
        <f aca="false">IF(N730="","",N730-Assumptions!$D$5)</f>
        <v/>
      </c>
      <c r="P730" s="22"/>
      <c r="Q730" s="22"/>
      <c r="R730" s="18" t="str">
        <f aca="false">IF(Q730="","",Q730*IF(LEFT(L730,7)="Phase 1",Assumptions!$B$11,Assumptions!$B$12))</f>
        <v/>
      </c>
    </row>
    <row r="731" customFormat="false" ht="15" hidden="false" customHeight="true" outlineLevel="0" collapsed="false">
      <c r="C731" s="24"/>
      <c r="F731" s="22"/>
      <c r="G731" s="23"/>
      <c r="H731" s="24"/>
      <c r="J731" s="18" t="str">
        <f aca="false">IF(F731="","",F731*G731)</f>
        <v/>
      </c>
      <c r="K731" s="5" t="str">
        <f aca="false">IF(A731="","",IF(H731&lt;&gt;"",Assumptions!$D$5-H731,IF(C731="","",Assumptions!$D$5-(C731+Assumptions!$B$8))))</f>
        <v/>
      </c>
      <c r="L731" s="5" t="str">
        <f aca="false">IF(K731="","",IF(K731&lt;0,"Phase 1 (unliquidated)",IF(K731&lt;=Assumptions!$B$7,"Phase 1 (recently liquidated)",IF(K731&lt;=Assumptions!$B$6,"Protest required","Deadline passed — litigation only"))))</f>
        <v/>
      </c>
      <c r="M731" s="20" t="str">
        <f aca="false">IF(K731="","",IF(H731&lt;&gt;"",H731+Assumptions!$B$6,C731+Assumptions!$B$8+Assumptions!$B$6))</f>
        <v/>
      </c>
      <c r="N731" s="20" t="str">
        <f aca="false">IF(K731="","",IF(K731&lt;0,IF(H731&lt;&gt;"",H731+Assumptions!$B$7,C731+Assumptions!$B$8+Assumptions!$B$7),M731))</f>
        <v/>
      </c>
      <c r="O731" s="21" t="str">
        <f aca="false">IF(N731="","",N731-Assumptions!$D$5)</f>
        <v/>
      </c>
      <c r="P731" s="22"/>
      <c r="Q731" s="22"/>
      <c r="R731" s="18" t="str">
        <f aca="false">IF(Q731="","",Q731*IF(LEFT(L731,7)="Phase 1",Assumptions!$B$11,Assumptions!$B$12))</f>
        <v/>
      </c>
    </row>
    <row r="732" customFormat="false" ht="15" hidden="false" customHeight="true" outlineLevel="0" collapsed="false">
      <c r="C732" s="24"/>
      <c r="F732" s="22"/>
      <c r="G732" s="23"/>
      <c r="H732" s="24"/>
      <c r="J732" s="18" t="str">
        <f aca="false">IF(F732="","",F732*G732)</f>
        <v/>
      </c>
      <c r="K732" s="5" t="str">
        <f aca="false">IF(A732="","",IF(H732&lt;&gt;"",Assumptions!$D$5-H732,IF(C732="","",Assumptions!$D$5-(C732+Assumptions!$B$8))))</f>
        <v/>
      </c>
      <c r="L732" s="5" t="str">
        <f aca="false">IF(K732="","",IF(K732&lt;0,"Phase 1 (unliquidated)",IF(K732&lt;=Assumptions!$B$7,"Phase 1 (recently liquidated)",IF(K732&lt;=Assumptions!$B$6,"Protest required","Deadline passed — litigation only"))))</f>
        <v/>
      </c>
      <c r="M732" s="20" t="str">
        <f aca="false">IF(K732="","",IF(H732&lt;&gt;"",H732+Assumptions!$B$6,C732+Assumptions!$B$8+Assumptions!$B$6))</f>
        <v/>
      </c>
      <c r="N732" s="20" t="str">
        <f aca="false">IF(K732="","",IF(K732&lt;0,IF(H732&lt;&gt;"",H732+Assumptions!$B$7,C732+Assumptions!$B$8+Assumptions!$B$7),M732))</f>
        <v/>
      </c>
      <c r="O732" s="21" t="str">
        <f aca="false">IF(N732="","",N732-Assumptions!$D$5)</f>
        <v/>
      </c>
      <c r="P732" s="22"/>
      <c r="Q732" s="22"/>
      <c r="R732" s="18" t="str">
        <f aca="false">IF(Q732="","",Q732*IF(LEFT(L732,7)="Phase 1",Assumptions!$B$11,Assumptions!$B$12))</f>
        <v/>
      </c>
    </row>
    <row r="733" customFormat="false" ht="15" hidden="false" customHeight="true" outlineLevel="0" collapsed="false">
      <c r="C733" s="24"/>
      <c r="F733" s="22"/>
      <c r="G733" s="23"/>
      <c r="H733" s="24"/>
      <c r="J733" s="18" t="str">
        <f aca="false">IF(F733="","",F733*G733)</f>
        <v/>
      </c>
      <c r="K733" s="5" t="str">
        <f aca="false">IF(A733="","",IF(H733&lt;&gt;"",Assumptions!$D$5-H733,IF(C733="","",Assumptions!$D$5-(C733+Assumptions!$B$8))))</f>
        <v/>
      </c>
      <c r="L733" s="5" t="str">
        <f aca="false">IF(K733="","",IF(K733&lt;0,"Phase 1 (unliquidated)",IF(K733&lt;=Assumptions!$B$7,"Phase 1 (recently liquidated)",IF(K733&lt;=Assumptions!$B$6,"Protest required","Deadline passed — litigation only"))))</f>
        <v/>
      </c>
      <c r="M733" s="20" t="str">
        <f aca="false">IF(K733="","",IF(H733&lt;&gt;"",H733+Assumptions!$B$6,C733+Assumptions!$B$8+Assumptions!$B$6))</f>
        <v/>
      </c>
      <c r="N733" s="20" t="str">
        <f aca="false">IF(K733="","",IF(K733&lt;0,IF(H733&lt;&gt;"",H733+Assumptions!$B$7,C733+Assumptions!$B$8+Assumptions!$B$7),M733))</f>
        <v/>
      </c>
      <c r="O733" s="21" t="str">
        <f aca="false">IF(N733="","",N733-Assumptions!$D$5)</f>
        <v/>
      </c>
      <c r="P733" s="22"/>
      <c r="Q733" s="22"/>
      <c r="R733" s="18" t="str">
        <f aca="false">IF(Q733="","",Q733*IF(LEFT(L733,7)="Phase 1",Assumptions!$B$11,Assumptions!$B$12))</f>
        <v/>
      </c>
    </row>
    <row r="734" customFormat="false" ht="15" hidden="false" customHeight="true" outlineLevel="0" collapsed="false">
      <c r="C734" s="24"/>
      <c r="F734" s="22"/>
      <c r="G734" s="23"/>
      <c r="H734" s="24"/>
      <c r="J734" s="18" t="str">
        <f aca="false">IF(F734="","",F734*G734)</f>
        <v/>
      </c>
      <c r="K734" s="5" t="str">
        <f aca="false">IF(A734="","",IF(H734&lt;&gt;"",Assumptions!$D$5-H734,IF(C734="","",Assumptions!$D$5-(C734+Assumptions!$B$8))))</f>
        <v/>
      </c>
      <c r="L734" s="5" t="str">
        <f aca="false">IF(K734="","",IF(K734&lt;0,"Phase 1 (unliquidated)",IF(K734&lt;=Assumptions!$B$7,"Phase 1 (recently liquidated)",IF(K734&lt;=Assumptions!$B$6,"Protest required","Deadline passed — litigation only"))))</f>
        <v/>
      </c>
      <c r="M734" s="20" t="str">
        <f aca="false">IF(K734="","",IF(H734&lt;&gt;"",H734+Assumptions!$B$6,C734+Assumptions!$B$8+Assumptions!$B$6))</f>
        <v/>
      </c>
      <c r="N734" s="20" t="str">
        <f aca="false">IF(K734="","",IF(K734&lt;0,IF(H734&lt;&gt;"",H734+Assumptions!$B$7,C734+Assumptions!$B$8+Assumptions!$B$7),M734))</f>
        <v/>
      </c>
      <c r="O734" s="21" t="str">
        <f aca="false">IF(N734="","",N734-Assumptions!$D$5)</f>
        <v/>
      </c>
      <c r="P734" s="22"/>
      <c r="Q734" s="22"/>
      <c r="R734" s="18" t="str">
        <f aca="false">IF(Q734="","",Q734*IF(LEFT(L734,7)="Phase 1",Assumptions!$B$11,Assumptions!$B$12))</f>
        <v/>
      </c>
    </row>
    <row r="735" customFormat="false" ht="15" hidden="false" customHeight="true" outlineLevel="0" collapsed="false">
      <c r="C735" s="24"/>
      <c r="F735" s="22"/>
      <c r="G735" s="23"/>
      <c r="H735" s="24"/>
      <c r="J735" s="18" t="str">
        <f aca="false">IF(F735="","",F735*G735)</f>
        <v/>
      </c>
      <c r="K735" s="5" t="str">
        <f aca="false">IF(A735="","",IF(H735&lt;&gt;"",Assumptions!$D$5-H735,IF(C735="","",Assumptions!$D$5-(C735+Assumptions!$B$8))))</f>
        <v/>
      </c>
      <c r="L735" s="5" t="str">
        <f aca="false">IF(K735="","",IF(K735&lt;0,"Phase 1 (unliquidated)",IF(K735&lt;=Assumptions!$B$7,"Phase 1 (recently liquidated)",IF(K735&lt;=Assumptions!$B$6,"Protest required","Deadline passed — litigation only"))))</f>
        <v/>
      </c>
      <c r="M735" s="20" t="str">
        <f aca="false">IF(K735="","",IF(H735&lt;&gt;"",H735+Assumptions!$B$6,C735+Assumptions!$B$8+Assumptions!$B$6))</f>
        <v/>
      </c>
      <c r="N735" s="20" t="str">
        <f aca="false">IF(K735="","",IF(K735&lt;0,IF(H735&lt;&gt;"",H735+Assumptions!$B$7,C735+Assumptions!$B$8+Assumptions!$B$7),M735))</f>
        <v/>
      </c>
      <c r="O735" s="21" t="str">
        <f aca="false">IF(N735="","",N735-Assumptions!$D$5)</f>
        <v/>
      </c>
      <c r="P735" s="22"/>
      <c r="Q735" s="22"/>
      <c r="R735" s="18" t="str">
        <f aca="false">IF(Q735="","",Q735*IF(LEFT(L735,7)="Phase 1",Assumptions!$B$11,Assumptions!$B$12))</f>
        <v/>
      </c>
    </row>
    <row r="736" customFormat="false" ht="15" hidden="false" customHeight="true" outlineLevel="0" collapsed="false">
      <c r="C736" s="24"/>
      <c r="F736" s="22"/>
      <c r="G736" s="23"/>
      <c r="H736" s="24"/>
      <c r="J736" s="18" t="str">
        <f aca="false">IF(F736="","",F736*G736)</f>
        <v/>
      </c>
      <c r="K736" s="5" t="str">
        <f aca="false">IF(A736="","",IF(H736&lt;&gt;"",Assumptions!$D$5-H736,IF(C736="","",Assumptions!$D$5-(C736+Assumptions!$B$8))))</f>
        <v/>
      </c>
      <c r="L736" s="5" t="str">
        <f aca="false">IF(K736="","",IF(K736&lt;0,"Phase 1 (unliquidated)",IF(K736&lt;=Assumptions!$B$7,"Phase 1 (recently liquidated)",IF(K736&lt;=Assumptions!$B$6,"Protest required","Deadline passed — litigation only"))))</f>
        <v/>
      </c>
      <c r="M736" s="20" t="str">
        <f aca="false">IF(K736="","",IF(H736&lt;&gt;"",H736+Assumptions!$B$6,C736+Assumptions!$B$8+Assumptions!$B$6))</f>
        <v/>
      </c>
      <c r="N736" s="20" t="str">
        <f aca="false">IF(K736="","",IF(K736&lt;0,IF(H736&lt;&gt;"",H736+Assumptions!$B$7,C736+Assumptions!$B$8+Assumptions!$B$7),M736))</f>
        <v/>
      </c>
      <c r="O736" s="21" t="str">
        <f aca="false">IF(N736="","",N736-Assumptions!$D$5)</f>
        <v/>
      </c>
      <c r="P736" s="22"/>
      <c r="Q736" s="22"/>
      <c r="R736" s="18" t="str">
        <f aca="false">IF(Q736="","",Q736*IF(LEFT(L736,7)="Phase 1",Assumptions!$B$11,Assumptions!$B$12))</f>
        <v/>
      </c>
    </row>
    <row r="737" customFormat="false" ht="15" hidden="false" customHeight="true" outlineLevel="0" collapsed="false">
      <c r="C737" s="24"/>
      <c r="F737" s="22"/>
      <c r="G737" s="23"/>
      <c r="H737" s="24"/>
      <c r="J737" s="18" t="str">
        <f aca="false">IF(F737="","",F737*G737)</f>
        <v/>
      </c>
      <c r="K737" s="5" t="str">
        <f aca="false">IF(A737="","",IF(H737&lt;&gt;"",Assumptions!$D$5-H737,IF(C737="","",Assumptions!$D$5-(C737+Assumptions!$B$8))))</f>
        <v/>
      </c>
      <c r="L737" s="5" t="str">
        <f aca="false">IF(K737="","",IF(K737&lt;0,"Phase 1 (unliquidated)",IF(K737&lt;=Assumptions!$B$7,"Phase 1 (recently liquidated)",IF(K737&lt;=Assumptions!$B$6,"Protest required","Deadline passed — litigation only"))))</f>
        <v/>
      </c>
      <c r="M737" s="20" t="str">
        <f aca="false">IF(K737="","",IF(H737&lt;&gt;"",H737+Assumptions!$B$6,C737+Assumptions!$B$8+Assumptions!$B$6))</f>
        <v/>
      </c>
      <c r="N737" s="20" t="str">
        <f aca="false">IF(K737="","",IF(K737&lt;0,IF(H737&lt;&gt;"",H737+Assumptions!$B$7,C737+Assumptions!$B$8+Assumptions!$B$7),M737))</f>
        <v/>
      </c>
      <c r="O737" s="21" t="str">
        <f aca="false">IF(N737="","",N737-Assumptions!$D$5)</f>
        <v/>
      </c>
      <c r="P737" s="22"/>
      <c r="Q737" s="22"/>
      <c r="R737" s="18" t="str">
        <f aca="false">IF(Q737="","",Q737*IF(LEFT(L737,7)="Phase 1",Assumptions!$B$11,Assumptions!$B$12))</f>
        <v/>
      </c>
    </row>
    <row r="738" customFormat="false" ht="15" hidden="false" customHeight="true" outlineLevel="0" collapsed="false">
      <c r="C738" s="24"/>
      <c r="F738" s="22"/>
      <c r="G738" s="23"/>
      <c r="H738" s="24"/>
      <c r="J738" s="18" t="str">
        <f aca="false">IF(F738="","",F738*G738)</f>
        <v/>
      </c>
      <c r="K738" s="5" t="str">
        <f aca="false">IF(A738="","",IF(H738&lt;&gt;"",Assumptions!$D$5-H738,IF(C738="","",Assumptions!$D$5-(C738+Assumptions!$B$8))))</f>
        <v/>
      </c>
      <c r="L738" s="5" t="str">
        <f aca="false">IF(K738="","",IF(K738&lt;0,"Phase 1 (unliquidated)",IF(K738&lt;=Assumptions!$B$7,"Phase 1 (recently liquidated)",IF(K738&lt;=Assumptions!$B$6,"Protest required","Deadline passed — litigation only"))))</f>
        <v/>
      </c>
      <c r="M738" s="20" t="str">
        <f aca="false">IF(K738="","",IF(H738&lt;&gt;"",H738+Assumptions!$B$6,C738+Assumptions!$B$8+Assumptions!$B$6))</f>
        <v/>
      </c>
      <c r="N738" s="20" t="str">
        <f aca="false">IF(K738="","",IF(K738&lt;0,IF(H738&lt;&gt;"",H738+Assumptions!$B$7,C738+Assumptions!$B$8+Assumptions!$B$7),M738))</f>
        <v/>
      </c>
      <c r="O738" s="21" t="str">
        <f aca="false">IF(N738="","",N738-Assumptions!$D$5)</f>
        <v/>
      </c>
      <c r="P738" s="22"/>
      <c r="Q738" s="22"/>
      <c r="R738" s="18" t="str">
        <f aca="false">IF(Q738="","",Q738*IF(LEFT(L738,7)="Phase 1",Assumptions!$B$11,Assumptions!$B$12))</f>
        <v/>
      </c>
    </row>
    <row r="739" customFormat="false" ht="15" hidden="false" customHeight="true" outlineLevel="0" collapsed="false">
      <c r="C739" s="24"/>
      <c r="F739" s="22"/>
      <c r="G739" s="23"/>
      <c r="H739" s="24"/>
      <c r="J739" s="18" t="str">
        <f aca="false">IF(F739="","",F739*G739)</f>
        <v/>
      </c>
      <c r="K739" s="5" t="str">
        <f aca="false">IF(A739="","",IF(H739&lt;&gt;"",Assumptions!$D$5-H739,IF(C739="","",Assumptions!$D$5-(C739+Assumptions!$B$8))))</f>
        <v/>
      </c>
      <c r="L739" s="5" t="str">
        <f aca="false">IF(K739="","",IF(K739&lt;0,"Phase 1 (unliquidated)",IF(K739&lt;=Assumptions!$B$7,"Phase 1 (recently liquidated)",IF(K739&lt;=Assumptions!$B$6,"Protest required","Deadline passed — litigation only"))))</f>
        <v/>
      </c>
      <c r="M739" s="20" t="str">
        <f aca="false">IF(K739="","",IF(H739&lt;&gt;"",H739+Assumptions!$B$6,C739+Assumptions!$B$8+Assumptions!$B$6))</f>
        <v/>
      </c>
      <c r="N739" s="20" t="str">
        <f aca="false">IF(K739="","",IF(K739&lt;0,IF(H739&lt;&gt;"",H739+Assumptions!$B$7,C739+Assumptions!$B$8+Assumptions!$B$7),M739))</f>
        <v/>
      </c>
      <c r="O739" s="21" t="str">
        <f aca="false">IF(N739="","",N739-Assumptions!$D$5)</f>
        <v/>
      </c>
      <c r="P739" s="22"/>
      <c r="Q739" s="22"/>
      <c r="R739" s="18" t="str">
        <f aca="false">IF(Q739="","",Q739*IF(LEFT(L739,7)="Phase 1",Assumptions!$B$11,Assumptions!$B$12))</f>
        <v/>
      </c>
    </row>
    <row r="740" customFormat="false" ht="15" hidden="false" customHeight="true" outlineLevel="0" collapsed="false">
      <c r="C740" s="24"/>
      <c r="F740" s="22"/>
      <c r="G740" s="23"/>
      <c r="H740" s="24"/>
      <c r="J740" s="18" t="str">
        <f aca="false">IF(F740="","",F740*G740)</f>
        <v/>
      </c>
      <c r="K740" s="5" t="str">
        <f aca="false">IF(A740="","",IF(H740&lt;&gt;"",Assumptions!$D$5-H740,IF(C740="","",Assumptions!$D$5-(C740+Assumptions!$B$8))))</f>
        <v/>
      </c>
      <c r="L740" s="5" t="str">
        <f aca="false">IF(K740="","",IF(K740&lt;0,"Phase 1 (unliquidated)",IF(K740&lt;=Assumptions!$B$7,"Phase 1 (recently liquidated)",IF(K740&lt;=Assumptions!$B$6,"Protest required","Deadline passed — litigation only"))))</f>
        <v/>
      </c>
      <c r="M740" s="20" t="str">
        <f aca="false">IF(K740="","",IF(H740&lt;&gt;"",H740+Assumptions!$B$6,C740+Assumptions!$B$8+Assumptions!$B$6))</f>
        <v/>
      </c>
      <c r="N740" s="20" t="str">
        <f aca="false">IF(K740="","",IF(K740&lt;0,IF(H740&lt;&gt;"",H740+Assumptions!$B$7,C740+Assumptions!$B$8+Assumptions!$B$7),M740))</f>
        <v/>
      </c>
      <c r="O740" s="21" t="str">
        <f aca="false">IF(N740="","",N740-Assumptions!$D$5)</f>
        <v/>
      </c>
      <c r="P740" s="22"/>
      <c r="Q740" s="22"/>
      <c r="R740" s="18" t="str">
        <f aca="false">IF(Q740="","",Q740*IF(LEFT(L740,7)="Phase 1",Assumptions!$B$11,Assumptions!$B$12))</f>
        <v/>
      </c>
    </row>
    <row r="741" customFormat="false" ht="15" hidden="false" customHeight="true" outlineLevel="0" collapsed="false">
      <c r="C741" s="24"/>
      <c r="F741" s="22"/>
      <c r="G741" s="23"/>
      <c r="H741" s="24"/>
      <c r="J741" s="18" t="str">
        <f aca="false">IF(F741="","",F741*G741)</f>
        <v/>
      </c>
      <c r="K741" s="5" t="str">
        <f aca="false">IF(A741="","",IF(H741&lt;&gt;"",Assumptions!$D$5-H741,IF(C741="","",Assumptions!$D$5-(C741+Assumptions!$B$8))))</f>
        <v/>
      </c>
      <c r="L741" s="5" t="str">
        <f aca="false">IF(K741="","",IF(K741&lt;0,"Phase 1 (unliquidated)",IF(K741&lt;=Assumptions!$B$7,"Phase 1 (recently liquidated)",IF(K741&lt;=Assumptions!$B$6,"Protest required","Deadline passed — litigation only"))))</f>
        <v/>
      </c>
      <c r="M741" s="20" t="str">
        <f aca="false">IF(K741="","",IF(H741&lt;&gt;"",H741+Assumptions!$B$6,C741+Assumptions!$B$8+Assumptions!$B$6))</f>
        <v/>
      </c>
      <c r="N741" s="20" t="str">
        <f aca="false">IF(K741="","",IF(K741&lt;0,IF(H741&lt;&gt;"",H741+Assumptions!$B$7,C741+Assumptions!$B$8+Assumptions!$B$7),M741))</f>
        <v/>
      </c>
      <c r="O741" s="21" t="str">
        <f aca="false">IF(N741="","",N741-Assumptions!$D$5)</f>
        <v/>
      </c>
      <c r="P741" s="22"/>
      <c r="Q741" s="22"/>
      <c r="R741" s="18" t="str">
        <f aca="false">IF(Q741="","",Q741*IF(LEFT(L741,7)="Phase 1",Assumptions!$B$11,Assumptions!$B$12))</f>
        <v/>
      </c>
    </row>
    <row r="742" customFormat="false" ht="15" hidden="false" customHeight="true" outlineLevel="0" collapsed="false">
      <c r="C742" s="24"/>
      <c r="F742" s="22"/>
      <c r="G742" s="23"/>
      <c r="H742" s="24"/>
      <c r="J742" s="18" t="str">
        <f aca="false">IF(F742="","",F742*G742)</f>
        <v/>
      </c>
      <c r="K742" s="5" t="str">
        <f aca="false">IF(A742="","",IF(H742&lt;&gt;"",Assumptions!$D$5-H742,IF(C742="","",Assumptions!$D$5-(C742+Assumptions!$B$8))))</f>
        <v/>
      </c>
      <c r="L742" s="5" t="str">
        <f aca="false">IF(K742="","",IF(K742&lt;0,"Phase 1 (unliquidated)",IF(K742&lt;=Assumptions!$B$7,"Phase 1 (recently liquidated)",IF(K742&lt;=Assumptions!$B$6,"Protest required","Deadline passed — litigation only"))))</f>
        <v/>
      </c>
      <c r="M742" s="20" t="str">
        <f aca="false">IF(K742="","",IF(H742&lt;&gt;"",H742+Assumptions!$B$6,C742+Assumptions!$B$8+Assumptions!$B$6))</f>
        <v/>
      </c>
      <c r="N742" s="20" t="str">
        <f aca="false">IF(K742="","",IF(K742&lt;0,IF(H742&lt;&gt;"",H742+Assumptions!$B$7,C742+Assumptions!$B$8+Assumptions!$B$7),M742))</f>
        <v/>
      </c>
      <c r="O742" s="21" t="str">
        <f aca="false">IF(N742="","",N742-Assumptions!$D$5)</f>
        <v/>
      </c>
      <c r="P742" s="22"/>
      <c r="Q742" s="22"/>
      <c r="R742" s="18" t="str">
        <f aca="false">IF(Q742="","",Q742*IF(LEFT(L742,7)="Phase 1",Assumptions!$B$11,Assumptions!$B$12))</f>
        <v/>
      </c>
    </row>
    <row r="743" customFormat="false" ht="15" hidden="false" customHeight="true" outlineLevel="0" collapsed="false">
      <c r="C743" s="24"/>
      <c r="F743" s="22"/>
      <c r="G743" s="23"/>
      <c r="H743" s="24"/>
      <c r="J743" s="18" t="str">
        <f aca="false">IF(F743="","",F743*G743)</f>
        <v/>
      </c>
      <c r="K743" s="5" t="str">
        <f aca="false">IF(A743="","",IF(H743&lt;&gt;"",Assumptions!$D$5-H743,IF(C743="","",Assumptions!$D$5-(C743+Assumptions!$B$8))))</f>
        <v/>
      </c>
      <c r="L743" s="5" t="str">
        <f aca="false">IF(K743="","",IF(K743&lt;0,"Phase 1 (unliquidated)",IF(K743&lt;=Assumptions!$B$7,"Phase 1 (recently liquidated)",IF(K743&lt;=Assumptions!$B$6,"Protest required","Deadline passed — litigation only"))))</f>
        <v/>
      </c>
      <c r="M743" s="20" t="str">
        <f aca="false">IF(K743="","",IF(H743&lt;&gt;"",H743+Assumptions!$B$6,C743+Assumptions!$B$8+Assumptions!$B$6))</f>
        <v/>
      </c>
      <c r="N743" s="20" t="str">
        <f aca="false">IF(K743="","",IF(K743&lt;0,IF(H743&lt;&gt;"",H743+Assumptions!$B$7,C743+Assumptions!$B$8+Assumptions!$B$7),M743))</f>
        <v/>
      </c>
      <c r="O743" s="21" t="str">
        <f aca="false">IF(N743="","",N743-Assumptions!$D$5)</f>
        <v/>
      </c>
      <c r="P743" s="22"/>
      <c r="Q743" s="22"/>
      <c r="R743" s="18" t="str">
        <f aca="false">IF(Q743="","",Q743*IF(LEFT(L743,7)="Phase 1",Assumptions!$B$11,Assumptions!$B$12))</f>
        <v/>
      </c>
    </row>
    <row r="744" customFormat="false" ht="15" hidden="false" customHeight="true" outlineLevel="0" collapsed="false">
      <c r="C744" s="24"/>
      <c r="F744" s="22"/>
      <c r="G744" s="23"/>
      <c r="H744" s="24"/>
      <c r="J744" s="18" t="str">
        <f aca="false">IF(F744="","",F744*G744)</f>
        <v/>
      </c>
      <c r="K744" s="5" t="str">
        <f aca="false">IF(A744="","",IF(H744&lt;&gt;"",Assumptions!$D$5-H744,IF(C744="","",Assumptions!$D$5-(C744+Assumptions!$B$8))))</f>
        <v/>
      </c>
      <c r="L744" s="5" t="str">
        <f aca="false">IF(K744="","",IF(K744&lt;0,"Phase 1 (unliquidated)",IF(K744&lt;=Assumptions!$B$7,"Phase 1 (recently liquidated)",IF(K744&lt;=Assumptions!$B$6,"Protest required","Deadline passed — litigation only"))))</f>
        <v/>
      </c>
      <c r="M744" s="20" t="str">
        <f aca="false">IF(K744="","",IF(H744&lt;&gt;"",H744+Assumptions!$B$6,C744+Assumptions!$B$8+Assumptions!$B$6))</f>
        <v/>
      </c>
      <c r="N744" s="20" t="str">
        <f aca="false">IF(K744="","",IF(K744&lt;0,IF(H744&lt;&gt;"",H744+Assumptions!$B$7,C744+Assumptions!$B$8+Assumptions!$B$7),M744))</f>
        <v/>
      </c>
      <c r="O744" s="21" t="str">
        <f aca="false">IF(N744="","",N744-Assumptions!$D$5)</f>
        <v/>
      </c>
      <c r="P744" s="22"/>
      <c r="Q744" s="22"/>
      <c r="R744" s="18" t="str">
        <f aca="false">IF(Q744="","",Q744*IF(LEFT(L744,7)="Phase 1",Assumptions!$B$11,Assumptions!$B$12))</f>
        <v/>
      </c>
    </row>
    <row r="745" customFormat="false" ht="15" hidden="false" customHeight="true" outlineLevel="0" collapsed="false">
      <c r="C745" s="24"/>
      <c r="F745" s="22"/>
      <c r="G745" s="23"/>
      <c r="H745" s="24"/>
      <c r="J745" s="18" t="str">
        <f aca="false">IF(F745="","",F745*G745)</f>
        <v/>
      </c>
      <c r="K745" s="5" t="str">
        <f aca="false">IF(A745="","",IF(H745&lt;&gt;"",Assumptions!$D$5-H745,IF(C745="","",Assumptions!$D$5-(C745+Assumptions!$B$8))))</f>
        <v/>
      </c>
      <c r="L745" s="5" t="str">
        <f aca="false">IF(K745="","",IF(K745&lt;0,"Phase 1 (unliquidated)",IF(K745&lt;=Assumptions!$B$7,"Phase 1 (recently liquidated)",IF(K745&lt;=Assumptions!$B$6,"Protest required","Deadline passed — litigation only"))))</f>
        <v/>
      </c>
      <c r="M745" s="20" t="str">
        <f aca="false">IF(K745="","",IF(H745&lt;&gt;"",H745+Assumptions!$B$6,C745+Assumptions!$B$8+Assumptions!$B$6))</f>
        <v/>
      </c>
      <c r="N745" s="20" t="str">
        <f aca="false">IF(K745="","",IF(K745&lt;0,IF(H745&lt;&gt;"",H745+Assumptions!$B$7,C745+Assumptions!$B$8+Assumptions!$B$7),M745))</f>
        <v/>
      </c>
      <c r="O745" s="21" t="str">
        <f aca="false">IF(N745="","",N745-Assumptions!$D$5)</f>
        <v/>
      </c>
      <c r="P745" s="22"/>
      <c r="Q745" s="22"/>
      <c r="R745" s="18" t="str">
        <f aca="false">IF(Q745="","",Q745*IF(LEFT(L745,7)="Phase 1",Assumptions!$B$11,Assumptions!$B$12))</f>
        <v/>
      </c>
    </row>
    <row r="746" customFormat="false" ht="15" hidden="false" customHeight="true" outlineLevel="0" collapsed="false">
      <c r="C746" s="24"/>
      <c r="F746" s="22"/>
      <c r="G746" s="23"/>
      <c r="H746" s="24"/>
      <c r="J746" s="18" t="str">
        <f aca="false">IF(F746="","",F746*G746)</f>
        <v/>
      </c>
      <c r="K746" s="5" t="str">
        <f aca="false">IF(A746="","",IF(H746&lt;&gt;"",Assumptions!$D$5-H746,IF(C746="","",Assumptions!$D$5-(C746+Assumptions!$B$8))))</f>
        <v/>
      </c>
      <c r="L746" s="5" t="str">
        <f aca="false">IF(K746="","",IF(K746&lt;0,"Phase 1 (unliquidated)",IF(K746&lt;=Assumptions!$B$7,"Phase 1 (recently liquidated)",IF(K746&lt;=Assumptions!$B$6,"Protest required","Deadline passed — litigation only"))))</f>
        <v/>
      </c>
      <c r="M746" s="20" t="str">
        <f aca="false">IF(K746="","",IF(H746&lt;&gt;"",H746+Assumptions!$B$6,C746+Assumptions!$B$8+Assumptions!$B$6))</f>
        <v/>
      </c>
      <c r="N746" s="20" t="str">
        <f aca="false">IF(K746="","",IF(K746&lt;0,IF(H746&lt;&gt;"",H746+Assumptions!$B$7,C746+Assumptions!$B$8+Assumptions!$B$7),M746))</f>
        <v/>
      </c>
      <c r="O746" s="21" t="str">
        <f aca="false">IF(N746="","",N746-Assumptions!$D$5)</f>
        <v/>
      </c>
      <c r="P746" s="22"/>
      <c r="Q746" s="22"/>
      <c r="R746" s="18" t="str">
        <f aca="false">IF(Q746="","",Q746*IF(LEFT(L746,7)="Phase 1",Assumptions!$B$11,Assumptions!$B$12))</f>
        <v/>
      </c>
    </row>
    <row r="747" customFormat="false" ht="15" hidden="false" customHeight="true" outlineLevel="0" collapsed="false">
      <c r="C747" s="24"/>
      <c r="F747" s="22"/>
      <c r="G747" s="23"/>
      <c r="H747" s="24"/>
      <c r="J747" s="18" t="str">
        <f aca="false">IF(F747="","",F747*G747)</f>
        <v/>
      </c>
      <c r="K747" s="5" t="str">
        <f aca="false">IF(A747="","",IF(H747&lt;&gt;"",Assumptions!$D$5-H747,IF(C747="","",Assumptions!$D$5-(C747+Assumptions!$B$8))))</f>
        <v/>
      </c>
      <c r="L747" s="5" t="str">
        <f aca="false">IF(K747="","",IF(K747&lt;0,"Phase 1 (unliquidated)",IF(K747&lt;=Assumptions!$B$7,"Phase 1 (recently liquidated)",IF(K747&lt;=Assumptions!$B$6,"Protest required","Deadline passed — litigation only"))))</f>
        <v/>
      </c>
      <c r="M747" s="20" t="str">
        <f aca="false">IF(K747="","",IF(H747&lt;&gt;"",H747+Assumptions!$B$6,C747+Assumptions!$B$8+Assumptions!$B$6))</f>
        <v/>
      </c>
      <c r="N747" s="20" t="str">
        <f aca="false">IF(K747="","",IF(K747&lt;0,IF(H747&lt;&gt;"",H747+Assumptions!$B$7,C747+Assumptions!$B$8+Assumptions!$B$7),M747))</f>
        <v/>
      </c>
      <c r="O747" s="21" t="str">
        <f aca="false">IF(N747="","",N747-Assumptions!$D$5)</f>
        <v/>
      </c>
      <c r="P747" s="22"/>
      <c r="Q747" s="22"/>
      <c r="R747" s="18" t="str">
        <f aca="false">IF(Q747="","",Q747*IF(LEFT(L747,7)="Phase 1",Assumptions!$B$11,Assumptions!$B$12))</f>
        <v/>
      </c>
    </row>
    <row r="748" customFormat="false" ht="15" hidden="false" customHeight="true" outlineLevel="0" collapsed="false">
      <c r="C748" s="24"/>
      <c r="F748" s="22"/>
      <c r="G748" s="23"/>
      <c r="H748" s="24"/>
      <c r="J748" s="18" t="str">
        <f aca="false">IF(F748="","",F748*G748)</f>
        <v/>
      </c>
      <c r="K748" s="5" t="str">
        <f aca="false">IF(A748="","",IF(H748&lt;&gt;"",Assumptions!$D$5-H748,IF(C748="","",Assumptions!$D$5-(C748+Assumptions!$B$8))))</f>
        <v/>
      </c>
      <c r="L748" s="5" t="str">
        <f aca="false">IF(K748="","",IF(K748&lt;0,"Phase 1 (unliquidated)",IF(K748&lt;=Assumptions!$B$7,"Phase 1 (recently liquidated)",IF(K748&lt;=Assumptions!$B$6,"Protest required","Deadline passed — litigation only"))))</f>
        <v/>
      </c>
      <c r="M748" s="20" t="str">
        <f aca="false">IF(K748="","",IF(H748&lt;&gt;"",H748+Assumptions!$B$6,C748+Assumptions!$B$8+Assumptions!$B$6))</f>
        <v/>
      </c>
      <c r="N748" s="20" t="str">
        <f aca="false">IF(K748="","",IF(K748&lt;0,IF(H748&lt;&gt;"",H748+Assumptions!$B$7,C748+Assumptions!$B$8+Assumptions!$B$7),M748))</f>
        <v/>
      </c>
      <c r="O748" s="21" t="str">
        <f aca="false">IF(N748="","",N748-Assumptions!$D$5)</f>
        <v/>
      </c>
      <c r="P748" s="22"/>
      <c r="Q748" s="22"/>
      <c r="R748" s="18" t="str">
        <f aca="false">IF(Q748="","",Q748*IF(LEFT(L748,7)="Phase 1",Assumptions!$B$11,Assumptions!$B$12))</f>
        <v/>
      </c>
    </row>
    <row r="749" customFormat="false" ht="15" hidden="false" customHeight="true" outlineLevel="0" collapsed="false">
      <c r="C749" s="24"/>
      <c r="F749" s="22"/>
      <c r="G749" s="23"/>
      <c r="H749" s="24"/>
      <c r="J749" s="18" t="str">
        <f aca="false">IF(F749="","",F749*G749)</f>
        <v/>
      </c>
      <c r="K749" s="5" t="str">
        <f aca="false">IF(A749="","",IF(H749&lt;&gt;"",Assumptions!$D$5-H749,IF(C749="","",Assumptions!$D$5-(C749+Assumptions!$B$8))))</f>
        <v/>
      </c>
      <c r="L749" s="5" t="str">
        <f aca="false">IF(K749="","",IF(K749&lt;0,"Phase 1 (unliquidated)",IF(K749&lt;=Assumptions!$B$7,"Phase 1 (recently liquidated)",IF(K749&lt;=Assumptions!$B$6,"Protest required","Deadline passed — litigation only"))))</f>
        <v/>
      </c>
      <c r="M749" s="20" t="str">
        <f aca="false">IF(K749="","",IF(H749&lt;&gt;"",H749+Assumptions!$B$6,C749+Assumptions!$B$8+Assumptions!$B$6))</f>
        <v/>
      </c>
      <c r="N749" s="20" t="str">
        <f aca="false">IF(K749="","",IF(K749&lt;0,IF(H749&lt;&gt;"",H749+Assumptions!$B$7,C749+Assumptions!$B$8+Assumptions!$B$7),M749))</f>
        <v/>
      </c>
      <c r="O749" s="21" t="str">
        <f aca="false">IF(N749="","",N749-Assumptions!$D$5)</f>
        <v/>
      </c>
      <c r="P749" s="22"/>
      <c r="Q749" s="22"/>
      <c r="R749" s="18" t="str">
        <f aca="false">IF(Q749="","",Q749*IF(LEFT(L749,7)="Phase 1",Assumptions!$B$11,Assumptions!$B$12))</f>
        <v/>
      </c>
    </row>
    <row r="750" customFormat="false" ht="15" hidden="false" customHeight="true" outlineLevel="0" collapsed="false">
      <c r="C750" s="24"/>
      <c r="F750" s="22"/>
      <c r="G750" s="23"/>
      <c r="H750" s="24"/>
      <c r="J750" s="18" t="str">
        <f aca="false">IF(F750="","",F750*G750)</f>
        <v/>
      </c>
      <c r="K750" s="5" t="str">
        <f aca="false">IF(A750="","",IF(H750&lt;&gt;"",Assumptions!$D$5-H750,IF(C750="","",Assumptions!$D$5-(C750+Assumptions!$B$8))))</f>
        <v/>
      </c>
      <c r="L750" s="5" t="str">
        <f aca="false">IF(K750="","",IF(K750&lt;0,"Phase 1 (unliquidated)",IF(K750&lt;=Assumptions!$B$7,"Phase 1 (recently liquidated)",IF(K750&lt;=Assumptions!$B$6,"Protest required","Deadline passed — litigation only"))))</f>
        <v/>
      </c>
      <c r="M750" s="20" t="str">
        <f aca="false">IF(K750="","",IF(H750&lt;&gt;"",H750+Assumptions!$B$6,C750+Assumptions!$B$8+Assumptions!$B$6))</f>
        <v/>
      </c>
      <c r="N750" s="20" t="str">
        <f aca="false">IF(K750="","",IF(K750&lt;0,IF(H750&lt;&gt;"",H750+Assumptions!$B$7,C750+Assumptions!$B$8+Assumptions!$B$7),M750))</f>
        <v/>
      </c>
      <c r="O750" s="21" t="str">
        <f aca="false">IF(N750="","",N750-Assumptions!$D$5)</f>
        <v/>
      </c>
      <c r="P750" s="22"/>
      <c r="Q750" s="22"/>
      <c r="R750" s="18" t="str">
        <f aca="false">IF(Q750="","",Q750*IF(LEFT(L750,7)="Phase 1",Assumptions!$B$11,Assumptions!$B$12))</f>
        <v/>
      </c>
    </row>
    <row r="751" customFormat="false" ht="15" hidden="false" customHeight="true" outlineLevel="0" collapsed="false">
      <c r="C751" s="24"/>
      <c r="F751" s="22"/>
      <c r="G751" s="23"/>
      <c r="H751" s="24"/>
      <c r="J751" s="18" t="str">
        <f aca="false">IF(F751="","",F751*G751)</f>
        <v/>
      </c>
      <c r="K751" s="5" t="str">
        <f aca="false">IF(A751="","",IF(H751&lt;&gt;"",Assumptions!$D$5-H751,IF(C751="","",Assumptions!$D$5-(C751+Assumptions!$B$8))))</f>
        <v/>
      </c>
      <c r="L751" s="5" t="str">
        <f aca="false">IF(K751="","",IF(K751&lt;0,"Phase 1 (unliquidated)",IF(K751&lt;=Assumptions!$B$7,"Phase 1 (recently liquidated)",IF(K751&lt;=Assumptions!$B$6,"Protest required","Deadline passed — litigation only"))))</f>
        <v/>
      </c>
      <c r="M751" s="20" t="str">
        <f aca="false">IF(K751="","",IF(H751&lt;&gt;"",H751+Assumptions!$B$6,C751+Assumptions!$B$8+Assumptions!$B$6))</f>
        <v/>
      </c>
      <c r="N751" s="20" t="str">
        <f aca="false">IF(K751="","",IF(K751&lt;0,IF(H751&lt;&gt;"",H751+Assumptions!$B$7,C751+Assumptions!$B$8+Assumptions!$B$7),M751))</f>
        <v/>
      </c>
      <c r="O751" s="21" t="str">
        <f aca="false">IF(N751="","",N751-Assumptions!$D$5)</f>
        <v/>
      </c>
      <c r="P751" s="22"/>
      <c r="Q751" s="22"/>
      <c r="R751" s="18" t="str">
        <f aca="false">IF(Q751="","",Q751*IF(LEFT(L751,7)="Phase 1",Assumptions!$B$11,Assumptions!$B$12))</f>
        <v/>
      </c>
    </row>
    <row r="752" customFormat="false" ht="15" hidden="false" customHeight="true" outlineLevel="0" collapsed="false">
      <c r="C752" s="24"/>
      <c r="F752" s="22"/>
      <c r="G752" s="23"/>
      <c r="H752" s="24"/>
      <c r="J752" s="18" t="str">
        <f aca="false">IF(F752="","",F752*G752)</f>
        <v/>
      </c>
      <c r="K752" s="5" t="str">
        <f aca="false">IF(A752="","",IF(H752&lt;&gt;"",Assumptions!$D$5-H752,IF(C752="","",Assumptions!$D$5-(C752+Assumptions!$B$8))))</f>
        <v/>
      </c>
      <c r="L752" s="5" t="str">
        <f aca="false">IF(K752="","",IF(K752&lt;0,"Phase 1 (unliquidated)",IF(K752&lt;=Assumptions!$B$7,"Phase 1 (recently liquidated)",IF(K752&lt;=Assumptions!$B$6,"Protest required","Deadline passed — litigation only"))))</f>
        <v/>
      </c>
      <c r="M752" s="20" t="str">
        <f aca="false">IF(K752="","",IF(H752&lt;&gt;"",H752+Assumptions!$B$6,C752+Assumptions!$B$8+Assumptions!$B$6))</f>
        <v/>
      </c>
      <c r="N752" s="20" t="str">
        <f aca="false">IF(K752="","",IF(K752&lt;0,IF(H752&lt;&gt;"",H752+Assumptions!$B$7,C752+Assumptions!$B$8+Assumptions!$B$7),M752))</f>
        <v/>
      </c>
      <c r="O752" s="21" t="str">
        <f aca="false">IF(N752="","",N752-Assumptions!$D$5)</f>
        <v/>
      </c>
      <c r="P752" s="22"/>
      <c r="Q752" s="22"/>
      <c r="R752" s="18" t="str">
        <f aca="false">IF(Q752="","",Q752*IF(LEFT(L752,7)="Phase 1",Assumptions!$B$11,Assumptions!$B$12))</f>
        <v/>
      </c>
    </row>
    <row r="753" customFormat="false" ht="15" hidden="false" customHeight="true" outlineLevel="0" collapsed="false">
      <c r="C753" s="24"/>
      <c r="F753" s="22"/>
      <c r="G753" s="23"/>
      <c r="H753" s="24"/>
      <c r="J753" s="18" t="str">
        <f aca="false">IF(F753="","",F753*G753)</f>
        <v/>
      </c>
      <c r="K753" s="5" t="str">
        <f aca="false">IF(A753="","",IF(H753&lt;&gt;"",Assumptions!$D$5-H753,IF(C753="","",Assumptions!$D$5-(C753+Assumptions!$B$8))))</f>
        <v/>
      </c>
      <c r="L753" s="5" t="str">
        <f aca="false">IF(K753="","",IF(K753&lt;0,"Phase 1 (unliquidated)",IF(K753&lt;=Assumptions!$B$7,"Phase 1 (recently liquidated)",IF(K753&lt;=Assumptions!$B$6,"Protest required","Deadline passed — litigation only"))))</f>
        <v/>
      </c>
      <c r="M753" s="20" t="str">
        <f aca="false">IF(K753="","",IF(H753&lt;&gt;"",H753+Assumptions!$B$6,C753+Assumptions!$B$8+Assumptions!$B$6))</f>
        <v/>
      </c>
      <c r="N753" s="20" t="str">
        <f aca="false">IF(K753="","",IF(K753&lt;0,IF(H753&lt;&gt;"",H753+Assumptions!$B$7,C753+Assumptions!$B$8+Assumptions!$B$7),M753))</f>
        <v/>
      </c>
      <c r="O753" s="21" t="str">
        <f aca="false">IF(N753="","",N753-Assumptions!$D$5)</f>
        <v/>
      </c>
      <c r="P753" s="22"/>
      <c r="Q753" s="22"/>
      <c r="R753" s="18" t="str">
        <f aca="false">IF(Q753="","",Q753*IF(LEFT(L753,7)="Phase 1",Assumptions!$B$11,Assumptions!$B$12))</f>
        <v/>
      </c>
    </row>
    <row r="754" customFormat="false" ht="15" hidden="false" customHeight="true" outlineLevel="0" collapsed="false">
      <c r="C754" s="24"/>
      <c r="F754" s="22"/>
      <c r="G754" s="23"/>
      <c r="H754" s="24"/>
      <c r="J754" s="18" t="str">
        <f aca="false">IF(F754="","",F754*G754)</f>
        <v/>
      </c>
      <c r="K754" s="5" t="str">
        <f aca="false">IF(A754="","",IF(H754&lt;&gt;"",Assumptions!$D$5-H754,IF(C754="","",Assumptions!$D$5-(C754+Assumptions!$B$8))))</f>
        <v/>
      </c>
      <c r="L754" s="5" t="str">
        <f aca="false">IF(K754="","",IF(K754&lt;0,"Phase 1 (unliquidated)",IF(K754&lt;=Assumptions!$B$7,"Phase 1 (recently liquidated)",IF(K754&lt;=Assumptions!$B$6,"Protest required","Deadline passed — litigation only"))))</f>
        <v/>
      </c>
      <c r="M754" s="20" t="str">
        <f aca="false">IF(K754="","",IF(H754&lt;&gt;"",H754+Assumptions!$B$6,C754+Assumptions!$B$8+Assumptions!$B$6))</f>
        <v/>
      </c>
      <c r="N754" s="20" t="str">
        <f aca="false">IF(K754="","",IF(K754&lt;0,IF(H754&lt;&gt;"",H754+Assumptions!$B$7,C754+Assumptions!$B$8+Assumptions!$B$7),M754))</f>
        <v/>
      </c>
      <c r="O754" s="21" t="str">
        <f aca="false">IF(N754="","",N754-Assumptions!$D$5)</f>
        <v/>
      </c>
      <c r="P754" s="22"/>
      <c r="Q754" s="22"/>
      <c r="R754" s="18" t="str">
        <f aca="false">IF(Q754="","",Q754*IF(LEFT(L754,7)="Phase 1",Assumptions!$B$11,Assumptions!$B$12))</f>
        <v/>
      </c>
    </row>
    <row r="755" customFormat="false" ht="15" hidden="false" customHeight="true" outlineLevel="0" collapsed="false">
      <c r="C755" s="24"/>
      <c r="F755" s="22"/>
      <c r="G755" s="23"/>
      <c r="H755" s="24"/>
      <c r="J755" s="18" t="str">
        <f aca="false">IF(F755="","",F755*G755)</f>
        <v/>
      </c>
      <c r="K755" s="5" t="str">
        <f aca="false">IF(A755="","",IF(H755&lt;&gt;"",Assumptions!$D$5-H755,IF(C755="","",Assumptions!$D$5-(C755+Assumptions!$B$8))))</f>
        <v/>
      </c>
      <c r="L755" s="5" t="str">
        <f aca="false">IF(K755="","",IF(K755&lt;0,"Phase 1 (unliquidated)",IF(K755&lt;=Assumptions!$B$7,"Phase 1 (recently liquidated)",IF(K755&lt;=Assumptions!$B$6,"Protest required","Deadline passed — litigation only"))))</f>
        <v/>
      </c>
      <c r="M755" s="20" t="str">
        <f aca="false">IF(K755="","",IF(H755&lt;&gt;"",H755+Assumptions!$B$6,C755+Assumptions!$B$8+Assumptions!$B$6))</f>
        <v/>
      </c>
      <c r="N755" s="20" t="str">
        <f aca="false">IF(K755="","",IF(K755&lt;0,IF(H755&lt;&gt;"",H755+Assumptions!$B$7,C755+Assumptions!$B$8+Assumptions!$B$7),M755))</f>
        <v/>
      </c>
      <c r="O755" s="21" t="str">
        <f aca="false">IF(N755="","",N755-Assumptions!$D$5)</f>
        <v/>
      </c>
      <c r="P755" s="22"/>
      <c r="Q755" s="22"/>
      <c r="R755" s="18" t="str">
        <f aca="false">IF(Q755="","",Q755*IF(LEFT(L755,7)="Phase 1",Assumptions!$B$11,Assumptions!$B$12))</f>
        <v/>
      </c>
    </row>
    <row r="756" customFormat="false" ht="15" hidden="false" customHeight="true" outlineLevel="0" collapsed="false">
      <c r="C756" s="24"/>
      <c r="F756" s="22"/>
      <c r="G756" s="23"/>
      <c r="H756" s="24"/>
      <c r="J756" s="18" t="str">
        <f aca="false">IF(F756="","",F756*G756)</f>
        <v/>
      </c>
      <c r="K756" s="5" t="str">
        <f aca="false">IF(A756="","",IF(H756&lt;&gt;"",Assumptions!$D$5-H756,IF(C756="","",Assumptions!$D$5-(C756+Assumptions!$B$8))))</f>
        <v/>
      </c>
      <c r="L756" s="5" t="str">
        <f aca="false">IF(K756="","",IF(K756&lt;0,"Phase 1 (unliquidated)",IF(K756&lt;=Assumptions!$B$7,"Phase 1 (recently liquidated)",IF(K756&lt;=Assumptions!$B$6,"Protest required","Deadline passed — litigation only"))))</f>
        <v/>
      </c>
      <c r="M756" s="20" t="str">
        <f aca="false">IF(K756="","",IF(H756&lt;&gt;"",H756+Assumptions!$B$6,C756+Assumptions!$B$8+Assumptions!$B$6))</f>
        <v/>
      </c>
      <c r="N756" s="20" t="str">
        <f aca="false">IF(K756="","",IF(K756&lt;0,IF(H756&lt;&gt;"",H756+Assumptions!$B$7,C756+Assumptions!$B$8+Assumptions!$B$7),M756))</f>
        <v/>
      </c>
      <c r="O756" s="21" t="str">
        <f aca="false">IF(N756="","",N756-Assumptions!$D$5)</f>
        <v/>
      </c>
      <c r="P756" s="22"/>
      <c r="Q756" s="22"/>
      <c r="R756" s="18" t="str">
        <f aca="false">IF(Q756="","",Q756*IF(LEFT(L756,7)="Phase 1",Assumptions!$B$11,Assumptions!$B$12))</f>
        <v/>
      </c>
    </row>
    <row r="757" customFormat="false" ht="15" hidden="false" customHeight="true" outlineLevel="0" collapsed="false">
      <c r="C757" s="24"/>
      <c r="F757" s="22"/>
      <c r="G757" s="23"/>
      <c r="H757" s="24"/>
      <c r="J757" s="18" t="str">
        <f aca="false">IF(F757="","",F757*G757)</f>
        <v/>
      </c>
      <c r="K757" s="5" t="str">
        <f aca="false">IF(A757="","",IF(H757&lt;&gt;"",Assumptions!$D$5-H757,IF(C757="","",Assumptions!$D$5-(C757+Assumptions!$B$8))))</f>
        <v/>
      </c>
      <c r="L757" s="5" t="str">
        <f aca="false">IF(K757="","",IF(K757&lt;0,"Phase 1 (unliquidated)",IF(K757&lt;=Assumptions!$B$7,"Phase 1 (recently liquidated)",IF(K757&lt;=Assumptions!$B$6,"Protest required","Deadline passed — litigation only"))))</f>
        <v/>
      </c>
      <c r="M757" s="20" t="str">
        <f aca="false">IF(K757="","",IF(H757&lt;&gt;"",H757+Assumptions!$B$6,C757+Assumptions!$B$8+Assumptions!$B$6))</f>
        <v/>
      </c>
      <c r="N757" s="20" t="str">
        <f aca="false">IF(K757="","",IF(K757&lt;0,IF(H757&lt;&gt;"",H757+Assumptions!$B$7,C757+Assumptions!$B$8+Assumptions!$B$7),M757))</f>
        <v/>
      </c>
      <c r="O757" s="21" t="str">
        <f aca="false">IF(N757="","",N757-Assumptions!$D$5)</f>
        <v/>
      </c>
      <c r="P757" s="22"/>
      <c r="Q757" s="22"/>
      <c r="R757" s="18" t="str">
        <f aca="false">IF(Q757="","",Q757*IF(LEFT(L757,7)="Phase 1",Assumptions!$B$11,Assumptions!$B$12))</f>
        <v/>
      </c>
    </row>
    <row r="758" customFormat="false" ht="15" hidden="false" customHeight="true" outlineLevel="0" collapsed="false">
      <c r="C758" s="24"/>
      <c r="F758" s="22"/>
      <c r="G758" s="23"/>
      <c r="H758" s="24"/>
      <c r="J758" s="18" t="str">
        <f aca="false">IF(F758="","",F758*G758)</f>
        <v/>
      </c>
      <c r="K758" s="5" t="str">
        <f aca="false">IF(A758="","",IF(H758&lt;&gt;"",Assumptions!$D$5-H758,IF(C758="","",Assumptions!$D$5-(C758+Assumptions!$B$8))))</f>
        <v/>
      </c>
      <c r="L758" s="5" t="str">
        <f aca="false">IF(K758="","",IF(K758&lt;0,"Phase 1 (unliquidated)",IF(K758&lt;=Assumptions!$B$7,"Phase 1 (recently liquidated)",IF(K758&lt;=Assumptions!$B$6,"Protest required","Deadline passed — litigation only"))))</f>
        <v/>
      </c>
      <c r="M758" s="20" t="str">
        <f aca="false">IF(K758="","",IF(H758&lt;&gt;"",H758+Assumptions!$B$6,C758+Assumptions!$B$8+Assumptions!$B$6))</f>
        <v/>
      </c>
      <c r="N758" s="20" t="str">
        <f aca="false">IF(K758="","",IF(K758&lt;0,IF(H758&lt;&gt;"",H758+Assumptions!$B$7,C758+Assumptions!$B$8+Assumptions!$B$7),M758))</f>
        <v/>
      </c>
      <c r="O758" s="21" t="str">
        <f aca="false">IF(N758="","",N758-Assumptions!$D$5)</f>
        <v/>
      </c>
      <c r="P758" s="22"/>
      <c r="Q758" s="22"/>
      <c r="R758" s="18" t="str">
        <f aca="false">IF(Q758="","",Q758*IF(LEFT(L758,7)="Phase 1",Assumptions!$B$11,Assumptions!$B$12))</f>
        <v/>
      </c>
    </row>
    <row r="759" customFormat="false" ht="15" hidden="false" customHeight="true" outlineLevel="0" collapsed="false">
      <c r="C759" s="24"/>
      <c r="F759" s="22"/>
      <c r="G759" s="23"/>
      <c r="H759" s="24"/>
      <c r="J759" s="18" t="str">
        <f aca="false">IF(F759="","",F759*G759)</f>
        <v/>
      </c>
      <c r="K759" s="5" t="str">
        <f aca="false">IF(A759="","",IF(H759&lt;&gt;"",Assumptions!$D$5-H759,IF(C759="","",Assumptions!$D$5-(C759+Assumptions!$B$8))))</f>
        <v/>
      </c>
      <c r="L759" s="5" t="str">
        <f aca="false">IF(K759="","",IF(K759&lt;0,"Phase 1 (unliquidated)",IF(K759&lt;=Assumptions!$B$7,"Phase 1 (recently liquidated)",IF(K759&lt;=Assumptions!$B$6,"Protest required","Deadline passed — litigation only"))))</f>
        <v/>
      </c>
      <c r="M759" s="20" t="str">
        <f aca="false">IF(K759="","",IF(H759&lt;&gt;"",H759+Assumptions!$B$6,C759+Assumptions!$B$8+Assumptions!$B$6))</f>
        <v/>
      </c>
      <c r="N759" s="20" t="str">
        <f aca="false">IF(K759="","",IF(K759&lt;0,IF(H759&lt;&gt;"",H759+Assumptions!$B$7,C759+Assumptions!$B$8+Assumptions!$B$7),M759))</f>
        <v/>
      </c>
      <c r="O759" s="21" t="str">
        <f aca="false">IF(N759="","",N759-Assumptions!$D$5)</f>
        <v/>
      </c>
      <c r="P759" s="22"/>
      <c r="Q759" s="22"/>
      <c r="R759" s="18" t="str">
        <f aca="false">IF(Q759="","",Q759*IF(LEFT(L759,7)="Phase 1",Assumptions!$B$11,Assumptions!$B$12))</f>
        <v/>
      </c>
    </row>
    <row r="760" customFormat="false" ht="15" hidden="false" customHeight="true" outlineLevel="0" collapsed="false">
      <c r="C760" s="24"/>
      <c r="F760" s="22"/>
      <c r="G760" s="23"/>
      <c r="H760" s="24"/>
      <c r="J760" s="18" t="str">
        <f aca="false">IF(F760="","",F760*G760)</f>
        <v/>
      </c>
      <c r="K760" s="5" t="str">
        <f aca="false">IF(A760="","",IF(H760&lt;&gt;"",Assumptions!$D$5-H760,IF(C760="","",Assumptions!$D$5-(C760+Assumptions!$B$8))))</f>
        <v/>
      </c>
      <c r="L760" s="5" t="str">
        <f aca="false">IF(K760="","",IF(K760&lt;0,"Phase 1 (unliquidated)",IF(K760&lt;=Assumptions!$B$7,"Phase 1 (recently liquidated)",IF(K760&lt;=Assumptions!$B$6,"Protest required","Deadline passed — litigation only"))))</f>
        <v/>
      </c>
      <c r="M760" s="20" t="str">
        <f aca="false">IF(K760="","",IF(H760&lt;&gt;"",H760+Assumptions!$B$6,C760+Assumptions!$B$8+Assumptions!$B$6))</f>
        <v/>
      </c>
      <c r="N760" s="20" t="str">
        <f aca="false">IF(K760="","",IF(K760&lt;0,IF(H760&lt;&gt;"",H760+Assumptions!$B$7,C760+Assumptions!$B$8+Assumptions!$B$7),M760))</f>
        <v/>
      </c>
      <c r="O760" s="21" t="str">
        <f aca="false">IF(N760="","",N760-Assumptions!$D$5)</f>
        <v/>
      </c>
      <c r="P760" s="22"/>
      <c r="Q760" s="22"/>
      <c r="R760" s="18" t="str">
        <f aca="false">IF(Q760="","",Q760*IF(LEFT(L760,7)="Phase 1",Assumptions!$B$11,Assumptions!$B$12))</f>
        <v/>
      </c>
    </row>
    <row r="761" customFormat="false" ht="15" hidden="false" customHeight="true" outlineLevel="0" collapsed="false">
      <c r="C761" s="24"/>
      <c r="F761" s="22"/>
      <c r="G761" s="23"/>
      <c r="H761" s="24"/>
      <c r="J761" s="18" t="str">
        <f aca="false">IF(F761="","",F761*G761)</f>
        <v/>
      </c>
      <c r="K761" s="5" t="str">
        <f aca="false">IF(A761="","",IF(H761&lt;&gt;"",Assumptions!$D$5-H761,IF(C761="","",Assumptions!$D$5-(C761+Assumptions!$B$8))))</f>
        <v/>
      </c>
      <c r="L761" s="5" t="str">
        <f aca="false">IF(K761="","",IF(K761&lt;0,"Phase 1 (unliquidated)",IF(K761&lt;=Assumptions!$B$7,"Phase 1 (recently liquidated)",IF(K761&lt;=Assumptions!$B$6,"Protest required","Deadline passed — litigation only"))))</f>
        <v/>
      </c>
      <c r="M761" s="20" t="str">
        <f aca="false">IF(K761="","",IF(H761&lt;&gt;"",H761+Assumptions!$B$6,C761+Assumptions!$B$8+Assumptions!$B$6))</f>
        <v/>
      </c>
      <c r="N761" s="20" t="str">
        <f aca="false">IF(K761="","",IF(K761&lt;0,IF(H761&lt;&gt;"",H761+Assumptions!$B$7,C761+Assumptions!$B$8+Assumptions!$B$7),M761))</f>
        <v/>
      </c>
      <c r="O761" s="21" t="str">
        <f aca="false">IF(N761="","",N761-Assumptions!$D$5)</f>
        <v/>
      </c>
      <c r="P761" s="22"/>
      <c r="Q761" s="22"/>
      <c r="R761" s="18" t="str">
        <f aca="false">IF(Q761="","",Q761*IF(LEFT(L761,7)="Phase 1",Assumptions!$B$11,Assumptions!$B$12))</f>
        <v/>
      </c>
    </row>
    <row r="762" customFormat="false" ht="15" hidden="false" customHeight="true" outlineLevel="0" collapsed="false">
      <c r="C762" s="24"/>
      <c r="F762" s="22"/>
      <c r="G762" s="23"/>
      <c r="H762" s="24"/>
      <c r="J762" s="18" t="str">
        <f aca="false">IF(F762="","",F762*G762)</f>
        <v/>
      </c>
      <c r="K762" s="5" t="str">
        <f aca="false">IF(A762="","",IF(H762&lt;&gt;"",Assumptions!$D$5-H762,IF(C762="","",Assumptions!$D$5-(C762+Assumptions!$B$8))))</f>
        <v/>
      </c>
      <c r="L762" s="5" t="str">
        <f aca="false">IF(K762="","",IF(K762&lt;0,"Phase 1 (unliquidated)",IF(K762&lt;=Assumptions!$B$7,"Phase 1 (recently liquidated)",IF(K762&lt;=Assumptions!$B$6,"Protest required","Deadline passed — litigation only"))))</f>
        <v/>
      </c>
      <c r="M762" s="20" t="str">
        <f aca="false">IF(K762="","",IF(H762&lt;&gt;"",H762+Assumptions!$B$6,C762+Assumptions!$B$8+Assumptions!$B$6))</f>
        <v/>
      </c>
      <c r="N762" s="20" t="str">
        <f aca="false">IF(K762="","",IF(K762&lt;0,IF(H762&lt;&gt;"",H762+Assumptions!$B$7,C762+Assumptions!$B$8+Assumptions!$B$7),M762))</f>
        <v/>
      </c>
      <c r="O762" s="21" t="str">
        <f aca="false">IF(N762="","",N762-Assumptions!$D$5)</f>
        <v/>
      </c>
      <c r="P762" s="22"/>
      <c r="Q762" s="22"/>
      <c r="R762" s="18" t="str">
        <f aca="false">IF(Q762="","",Q762*IF(LEFT(L762,7)="Phase 1",Assumptions!$B$11,Assumptions!$B$12))</f>
        <v/>
      </c>
    </row>
    <row r="763" customFormat="false" ht="15" hidden="false" customHeight="true" outlineLevel="0" collapsed="false">
      <c r="C763" s="24"/>
      <c r="F763" s="22"/>
      <c r="G763" s="23"/>
      <c r="H763" s="24"/>
      <c r="J763" s="18" t="str">
        <f aca="false">IF(F763="","",F763*G763)</f>
        <v/>
      </c>
      <c r="K763" s="5" t="str">
        <f aca="false">IF(A763="","",IF(H763&lt;&gt;"",Assumptions!$D$5-H763,IF(C763="","",Assumptions!$D$5-(C763+Assumptions!$B$8))))</f>
        <v/>
      </c>
      <c r="L763" s="5" t="str">
        <f aca="false">IF(K763="","",IF(K763&lt;0,"Phase 1 (unliquidated)",IF(K763&lt;=Assumptions!$B$7,"Phase 1 (recently liquidated)",IF(K763&lt;=Assumptions!$B$6,"Protest required","Deadline passed — litigation only"))))</f>
        <v/>
      </c>
      <c r="M763" s="20" t="str">
        <f aca="false">IF(K763="","",IF(H763&lt;&gt;"",H763+Assumptions!$B$6,C763+Assumptions!$B$8+Assumptions!$B$6))</f>
        <v/>
      </c>
      <c r="N763" s="20" t="str">
        <f aca="false">IF(K763="","",IF(K763&lt;0,IF(H763&lt;&gt;"",H763+Assumptions!$B$7,C763+Assumptions!$B$8+Assumptions!$B$7),M763))</f>
        <v/>
      </c>
      <c r="O763" s="21" t="str">
        <f aca="false">IF(N763="","",N763-Assumptions!$D$5)</f>
        <v/>
      </c>
      <c r="P763" s="22"/>
      <c r="Q763" s="22"/>
      <c r="R763" s="18" t="str">
        <f aca="false">IF(Q763="","",Q763*IF(LEFT(L763,7)="Phase 1",Assumptions!$B$11,Assumptions!$B$12))</f>
        <v/>
      </c>
    </row>
    <row r="764" customFormat="false" ht="15" hidden="false" customHeight="true" outlineLevel="0" collapsed="false">
      <c r="C764" s="24"/>
      <c r="F764" s="22"/>
      <c r="G764" s="23"/>
      <c r="H764" s="24"/>
      <c r="J764" s="18" t="str">
        <f aca="false">IF(F764="","",F764*G764)</f>
        <v/>
      </c>
      <c r="K764" s="5" t="str">
        <f aca="false">IF(A764="","",IF(H764&lt;&gt;"",Assumptions!$D$5-H764,IF(C764="","",Assumptions!$D$5-(C764+Assumptions!$B$8))))</f>
        <v/>
      </c>
      <c r="L764" s="5" t="str">
        <f aca="false">IF(K764="","",IF(K764&lt;0,"Phase 1 (unliquidated)",IF(K764&lt;=Assumptions!$B$7,"Phase 1 (recently liquidated)",IF(K764&lt;=Assumptions!$B$6,"Protest required","Deadline passed — litigation only"))))</f>
        <v/>
      </c>
      <c r="M764" s="20" t="str">
        <f aca="false">IF(K764="","",IF(H764&lt;&gt;"",H764+Assumptions!$B$6,C764+Assumptions!$B$8+Assumptions!$B$6))</f>
        <v/>
      </c>
      <c r="N764" s="20" t="str">
        <f aca="false">IF(K764="","",IF(K764&lt;0,IF(H764&lt;&gt;"",H764+Assumptions!$B$7,C764+Assumptions!$B$8+Assumptions!$B$7),M764))</f>
        <v/>
      </c>
      <c r="O764" s="21" t="str">
        <f aca="false">IF(N764="","",N764-Assumptions!$D$5)</f>
        <v/>
      </c>
      <c r="P764" s="22"/>
      <c r="Q764" s="22"/>
      <c r="R764" s="18" t="str">
        <f aca="false">IF(Q764="","",Q764*IF(LEFT(L764,7)="Phase 1",Assumptions!$B$11,Assumptions!$B$12))</f>
        <v/>
      </c>
    </row>
    <row r="765" customFormat="false" ht="15" hidden="false" customHeight="true" outlineLevel="0" collapsed="false">
      <c r="C765" s="24"/>
      <c r="F765" s="22"/>
      <c r="G765" s="23"/>
      <c r="H765" s="24"/>
      <c r="J765" s="18" t="str">
        <f aca="false">IF(F765="","",F765*G765)</f>
        <v/>
      </c>
      <c r="K765" s="5" t="str">
        <f aca="false">IF(A765="","",IF(H765&lt;&gt;"",Assumptions!$D$5-H765,IF(C765="","",Assumptions!$D$5-(C765+Assumptions!$B$8))))</f>
        <v/>
      </c>
      <c r="L765" s="5" t="str">
        <f aca="false">IF(K765="","",IF(K765&lt;0,"Phase 1 (unliquidated)",IF(K765&lt;=Assumptions!$B$7,"Phase 1 (recently liquidated)",IF(K765&lt;=Assumptions!$B$6,"Protest required","Deadline passed — litigation only"))))</f>
        <v/>
      </c>
      <c r="M765" s="20" t="str">
        <f aca="false">IF(K765="","",IF(H765&lt;&gt;"",H765+Assumptions!$B$6,C765+Assumptions!$B$8+Assumptions!$B$6))</f>
        <v/>
      </c>
      <c r="N765" s="20" t="str">
        <f aca="false">IF(K765="","",IF(K765&lt;0,IF(H765&lt;&gt;"",H765+Assumptions!$B$7,C765+Assumptions!$B$8+Assumptions!$B$7),M765))</f>
        <v/>
      </c>
      <c r="O765" s="21" t="str">
        <f aca="false">IF(N765="","",N765-Assumptions!$D$5)</f>
        <v/>
      </c>
      <c r="P765" s="22"/>
      <c r="Q765" s="22"/>
      <c r="R765" s="18" t="str">
        <f aca="false">IF(Q765="","",Q765*IF(LEFT(L765,7)="Phase 1",Assumptions!$B$11,Assumptions!$B$12))</f>
        <v/>
      </c>
    </row>
    <row r="766" customFormat="false" ht="15" hidden="false" customHeight="true" outlineLevel="0" collapsed="false">
      <c r="C766" s="24"/>
      <c r="F766" s="22"/>
      <c r="G766" s="23"/>
      <c r="H766" s="24"/>
      <c r="J766" s="18" t="str">
        <f aca="false">IF(F766="","",F766*G766)</f>
        <v/>
      </c>
      <c r="K766" s="5" t="str">
        <f aca="false">IF(A766="","",IF(H766&lt;&gt;"",Assumptions!$D$5-H766,IF(C766="","",Assumptions!$D$5-(C766+Assumptions!$B$8))))</f>
        <v/>
      </c>
      <c r="L766" s="5" t="str">
        <f aca="false">IF(K766="","",IF(K766&lt;0,"Phase 1 (unliquidated)",IF(K766&lt;=Assumptions!$B$7,"Phase 1 (recently liquidated)",IF(K766&lt;=Assumptions!$B$6,"Protest required","Deadline passed — litigation only"))))</f>
        <v/>
      </c>
      <c r="M766" s="20" t="str">
        <f aca="false">IF(K766="","",IF(H766&lt;&gt;"",H766+Assumptions!$B$6,C766+Assumptions!$B$8+Assumptions!$B$6))</f>
        <v/>
      </c>
      <c r="N766" s="20" t="str">
        <f aca="false">IF(K766="","",IF(K766&lt;0,IF(H766&lt;&gt;"",H766+Assumptions!$B$7,C766+Assumptions!$B$8+Assumptions!$B$7),M766))</f>
        <v/>
      </c>
      <c r="O766" s="21" t="str">
        <f aca="false">IF(N766="","",N766-Assumptions!$D$5)</f>
        <v/>
      </c>
      <c r="P766" s="22"/>
      <c r="Q766" s="22"/>
      <c r="R766" s="18" t="str">
        <f aca="false">IF(Q766="","",Q766*IF(LEFT(L766,7)="Phase 1",Assumptions!$B$11,Assumptions!$B$12))</f>
        <v/>
      </c>
    </row>
    <row r="767" customFormat="false" ht="15" hidden="false" customHeight="true" outlineLevel="0" collapsed="false">
      <c r="C767" s="24"/>
      <c r="F767" s="22"/>
      <c r="G767" s="23"/>
      <c r="H767" s="24"/>
      <c r="J767" s="18" t="str">
        <f aca="false">IF(F767="","",F767*G767)</f>
        <v/>
      </c>
      <c r="K767" s="5" t="str">
        <f aca="false">IF(A767="","",IF(H767&lt;&gt;"",Assumptions!$D$5-H767,IF(C767="","",Assumptions!$D$5-(C767+Assumptions!$B$8))))</f>
        <v/>
      </c>
      <c r="L767" s="5" t="str">
        <f aca="false">IF(K767="","",IF(K767&lt;0,"Phase 1 (unliquidated)",IF(K767&lt;=Assumptions!$B$7,"Phase 1 (recently liquidated)",IF(K767&lt;=Assumptions!$B$6,"Protest required","Deadline passed — litigation only"))))</f>
        <v/>
      </c>
      <c r="M767" s="20" t="str">
        <f aca="false">IF(K767="","",IF(H767&lt;&gt;"",H767+Assumptions!$B$6,C767+Assumptions!$B$8+Assumptions!$B$6))</f>
        <v/>
      </c>
      <c r="N767" s="20" t="str">
        <f aca="false">IF(K767="","",IF(K767&lt;0,IF(H767&lt;&gt;"",H767+Assumptions!$B$7,C767+Assumptions!$B$8+Assumptions!$B$7),M767))</f>
        <v/>
      </c>
      <c r="O767" s="21" t="str">
        <f aca="false">IF(N767="","",N767-Assumptions!$D$5)</f>
        <v/>
      </c>
      <c r="P767" s="22"/>
      <c r="Q767" s="22"/>
      <c r="R767" s="18" t="str">
        <f aca="false">IF(Q767="","",Q767*IF(LEFT(L767,7)="Phase 1",Assumptions!$B$11,Assumptions!$B$12))</f>
        <v/>
      </c>
    </row>
    <row r="768" customFormat="false" ht="15" hidden="false" customHeight="true" outlineLevel="0" collapsed="false">
      <c r="C768" s="24"/>
      <c r="F768" s="22"/>
      <c r="G768" s="23"/>
      <c r="H768" s="24"/>
      <c r="J768" s="18" t="str">
        <f aca="false">IF(F768="","",F768*G768)</f>
        <v/>
      </c>
      <c r="K768" s="5" t="str">
        <f aca="false">IF(A768="","",IF(H768&lt;&gt;"",Assumptions!$D$5-H768,IF(C768="","",Assumptions!$D$5-(C768+Assumptions!$B$8))))</f>
        <v/>
      </c>
      <c r="L768" s="5" t="str">
        <f aca="false">IF(K768="","",IF(K768&lt;0,"Phase 1 (unliquidated)",IF(K768&lt;=Assumptions!$B$7,"Phase 1 (recently liquidated)",IF(K768&lt;=Assumptions!$B$6,"Protest required","Deadline passed — litigation only"))))</f>
        <v/>
      </c>
      <c r="M768" s="20" t="str">
        <f aca="false">IF(K768="","",IF(H768&lt;&gt;"",H768+Assumptions!$B$6,C768+Assumptions!$B$8+Assumptions!$B$6))</f>
        <v/>
      </c>
      <c r="N768" s="20" t="str">
        <f aca="false">IF(K768="","",IF(K768&lt;0,IF(H768&lt;&gt;"",H768+Assumptions!$B$7,C768+Assumptions!$B$8+Assumptions!$B$7),M768))</f>
        <v/>
      </c>
      <c r="O768" s="21" t="str">
        <f aca="false">IF(N768="","",N768-Assumptions!$D$5)</f>
        <v/>
      </c>
      <c r="P768" s="22"/>
      <c r="Q768" s="22"/>
      <c r="R768" s="18" t="str">
        <f aca="false">IF(Q768="","",Q768*IF(LEFT(L768,7)="Phase 1",Assumptions!$B$11,Assumptions!$B$12))</f>
        <v/>
      </c>
    </row>
    <row r="769" customFormat="false" ht="15" hidden="false" customHeight="true" outlineLevel="0" collapsed="false">
      <c r="C769" s="24"/>
      <c r="F769" s="22"/>
      <c r="G769" s="23"/>
      <c r="H769" s="24"/>
      <c r="J769" s="18" t="str">
        <f aca="false">IF(F769="","",F769*G769)</f>
        <v/>
      </c>
      <c r="K769" s="5" t="str">
        <f aca="false">IF(A769="","",IF(H769&lt;&gt;"",Assumptions!$D$5-H769,IF(C769="","",Assumptions!$D$5-(C769+Assumptions!$B$8))))</f>
        <v/>
      </c>
      <c r="L769" s="5" t="str">
        <f aca="false">IF(K769="","",IF(K769&lt;0,"Phase 1 (unliquidated)",IF(K769&lt;=Assumptions!$B$7,"Phase 1 (recently liquidated)",IF(K769&lt;=Assumptions!$B$6,"Protest required","Deadline passed — litigation only"))))</f>
        <v/>
      </c>
      <c r="M769" s="20" t="str">
        <f aca="false">IF(K769="","",IF(H769&lt;&gt;"",H769+Assumptions!$B$6,C769+Assumptions!$B$8+Assumptions!$B$6))</f>
        <v/>
      </c>
      <c r="N769" s="20" t="str">
        <f aca="false">IF(K769="","",IF(K769&lt;0,IF(H769&lt;&gt;"",H769+Assumptions!$B$7,C769+Assumptions!$B$8+Assumptions!$B$7),M769))</f>
        <v/>
      </c>
      <c r="O769" s="21" t="str">
        <f aca="false">IF(N769="","",N769-Assumptions!$D$5)</f>
        <v/>
      </c>
      <c r="P769" s="22"/>
      <c r="Q769" s="22"/>
      <c r="R769" s="18" t="str">
        <f aca="false">IF(Q769="","",Q769*IF(LEFT(L769,7)="Phase 1",Assumptions!$B$11,Assumptions!$B$12))</f>
        <v/>
      </c>
    </row>
    <row r="770" customFormat="false" ht="15" hidden="false" customHeight="true" outlineLevel="0" collapsed="false">
      <c r="C770" s="24"/>
      <c r="F770" s="22"/>
      <c r="G770" s="23"/>
      <c r="H770" s="24"/>
      <c r="J770" s="18" t="str">
        <f aca="false">IF(F770="","",F770*G770)</f>
        <v/>
      </c>
      <c r="K770" s="5" t="str">
        <f aca="false">IF(A770="","",IF(H770&lt;&gt;"",Assumptions!$D$5-H770,IF(C770="","",Assumptions!$D$5-(C770+Assumptions!$B$8))))</f>
        <v/>
      </c>
      <c r="L770" s="5" t="str">
        <f aca="false">IF(K770="","",IF(K770&lt;0,"Phase 1 (unliquidated)",IF(K770&lt;=Assumptions!$B$7,"Phase 1 (recently liquidated)",IF(K770&lt;=Assumptions!$B$6,"Protest required","Deadline passed — litigation only"))))</f>
        <v/>
      </c>
      <c r="M770" s="20" t="str">
        <f aca="false">IF(K770="","",IF(H770&lt;&gt;"",H770+Assumptions!$B$6,C770+Assumptions!$B$8+Assumptions!$B$6))</f>
        <v/>
      </c>
      <c r="N770" s="20" t="str">
        <f aca="false">IF(K770="","",IF(K770&lt;0,IF(H770&lt;&gt;"",H770+Assumptions!$B$7,C770+Assumptions!$B$8+Assumptions!$B$7),M770))</f>
        <v/>
      </c>
      <c r="O770" s="21" t="str">
        <f aca="false">IF(N770="","",N770-Assumptions!$D$5)</f>
        <v/>
      </c>
      <c r="P770" s="22"/>
      <c r="Q770" s="22"/>
      <c r="R770" s="18" t="str">
        <f aca="false">IF(Q770="","",Q770*IF(LEFT(L770,7)="Phase 1",Assumptions!$B$11,Assumptions!$B$12))</f>
        <v/>
      </c>
    </row>
    <row r="771" customFormat="false" ht="15" hidden="false" customHeight="true" outlineLevel="0" collapsed="false">
      <c r="C771" s="24"/>
      <c r="F771" s="22"/>
      <c r="G771" s="23"/>
      <c r="H771" s="24"/>
      <c r="J771" s="18" t="str">
        <f aca="false">IF(F771="","",F771*G771)</f>
        <v/>
      </c>
      <c r="K771" s="5" t="str">
        <f aca="false">IF(A771="","",IF(H771&lt;&gt;"",Assumptions!$D$5-H771,IF(C771="","",Assumptions!$D$5-(C771+Assumptions!$B$8))))</f>
        <v/>
      </c>
      <c r="L771" s="5" t="str">
        <f aca="false">IF(K771="","",IF(K771&lt;0,"Phase 1 (unliquidated)",IF(K771&lt;=Assumptions!$B$7,"Phase 1 (recently liquidated)",IF(K771&lt;=Assumptions!$B$6,"Protest required","Deadline passed — litigation only"))))</f>
        <v/>
      </c>
      <c r="M771" s="20" t="str">
        <f aca="false">IF(K771="","",IF(H771&lt;&gt;"",H771+Assumptions!$B$6,C771+Assumptions!$B$8+Assumptions!$B$6))</f>
        <v/>
      </c>
      <c r="N771" s="20" t="str">
        <f aca="false">IF(K771="","",IF(K771&lt;0,IF(H771&lt;&gt;"",H771+Assumptions!$B$7,C771+Assumptions!$B$8+Assumptions!$B$7),M771))</f>
        <v/>
      </c>
      <c r="O771" s="21" t="str">
        <f aca="false">IF(N771="","",N771-Assumptions!$D$5)</f>
        <v/>
      </c>
      <c r="P771" s="22"/>
      <c r="Q771" s="22"/>
      <c r="R771" s="18" t="str">
        <f aca="false">IF(Q771="","",Q771*IF(LEFT(L771,7)="Phase 1",Assumptions!$B$11,Assumptions!$B$12))</f>
        <v/>
      </c>
    </row>
    <row r="772" customFormat="false" ht="15" hidden="false" customHeight="true" outlineLevel="0" collapsed="false">
      <c r="C772" s="24"/>
      <c r="F772" s="22"/>
      <c r="G772" s="23"/>
      <c r="H772" s="24"/>
      <c r="J772" s="18" t="str">
        <f aca="false">IF(F772="","",F772*G772)</f>
        <v/>
      </c>
      <c r="K772" s="5" t="str">
        <f aca="false">IF(A772="","",IF(H772&lt;&gt;"",Assumptions!$D$5-H772,IF(C772="","",Assumptions!$D$5-(C772+Assumptions!$B$8))))</f>
        <v/>
      </c>
      <c r="L772" s="5" t="str">
        <f aca="false">IF(K772="","",IF(K772&lt;0,"Phase 1 (unliquidated)",IF(K772&lt;=Assumptions!$B$7,"Phase 1 (recently liquidated)",IF(K772&lt;=Assumptions!$B$6,"Protest required","Deadline passed — litigation only"))))</f>
        <v/>
      </c>
      <c r="M772" s="20" t="str">
        <f aca="false">IF(K772="","",IF(H772&lt;&gt;"",H772+Assumptions!$B$6,C772+Assumptions!$B$8+Assumptions!$B$6))</f>
        <v/>
      </c>
      <c r="N772" s="20" t="str">
        <f aca="false">IF(K772="","",IF(K772&lt;0,IF(H772&lt;&gt;"",H772+Assumptions!$B$7,C772+Assumptions!$B$8+Assumptions!$B$7),M772))</f>
        <v/>
      </c>
      <c r="O772" s="21" t="str">
        <f aca="false">IF(N772="","",N772-Assumptions!$D$5)</f>
        <v/>
      </c>
      <c r="P772" s="22"/>
      <c r="Q772" s="22"/>
      <c r="R772" s="18" t="str">
        <f aca="false">IF(Q772="","",Q772*IF(LEFT(L772,7)="Phase 1",Assumptions!$B$11,Assumptions!$B$12))</f>
        <v/>
      </c>
    </row>
    <row r="773" customFormat="false" ht="15" hidden="false" customHeight="true" outlineLevel="0" collapsed="false">
      <c r="C773" s="24"/>
      <c r="F773" s="22"/>
      <c r="G773" s="23"/>
      <c r="H773" s="24"/>
      <c r="J773" s="18" t="str">
        <f aca="false">IF(F773="","",F773*G773)</f>
        <v/>
      </c>
      <c r="K773" s="5" t="str">
        <f aca="false">IF(A773="","",IF(H773&lt;&gt;"",Assumptions!$D$5-H773,IF(C773="","",Assumptions!$D$5-(C773+Assumptions!$B$8))))</f>
        <v/>
      </c>
      <c r="L773" s="5" t="str">
        <f aca="false">IF(K773="","",IF(K773&lt;0,"Phase 1 (unliquidated)",IF(K773&lt;=Assumptions!$B$7,"Phase 1 (recently liquidated)",IF(K773&lt;=Assumptions!$B$6,"Protest required","Deadline passed — litigation only"))))</f>
        <v/>
      </c>
      <c r="M773" s="20" t="str">
        <f aca="false">IF(K773="","",IF(H773&lt;&gt;"",H773+Assumptions!$B$6,C773+Assumptions!$B$8+Assumptions!$B$6))</f>
        <v/>
      </c>
      <c r="N773" s="20" t="str">
        <f aca="false">IF(K773="","",IF(K773&lt;0,IF(H773&lt;&gt;"",H773+Assumptions!$B$7,C773+Assumptions!$B$8+Assumptions!$B$7),M773))</f>
        <v/>
      </c>
      <c r="O773" s="21" t="str">
        <f aca="false">IF(N773="","",N773-Assumptions!$D$5)</f>
        <v/>
      </c>
      <c r="P773" s="22"/>
      <c r="Q773" s="22"/>
      <c r="R773" s="18" t="str">
        <f aca="false">IF(Q773="","",Q773*IF(LEFT(L773,7)="Phase 1",Assumptions!$B$11,Assumptions!$B$12))</f>
        <v/>
      </c>
    </row>
    <row r="774" customFormat="false" ht="15" hidden="false" customHeight="true" outlineLevel="0" collapsed="false">
      <c r="C774" s="24"/>
      <c r="F774" s="22"/>
      <c r="G774" s="23"/>
      <c r="H774" s="24"/>
      <c r="J774" s="18" t="str">
        <f aca="false">IF(F774="","",F774*G774)</f>
        <v/>
      </c>
      <c r="K774" s="5" t="str">
        <f aca="false">IF(A774="","",IF(H774&lt;&gt;"",Assumptions!$D$5-H774,IF(C774="","",Assumptions!$D$5-(C774+Assumptions!$B$8))))</f>
        <v/>
      </c>
      <c r="L774" s="5" t="str">
        <f aca="false">IF(K774="","",IF(K774&lt;0,"Phase 1 (unliquidated)",IF(K774&lt;=Assumptions!$B$7,"Phase 1 (recently liquidated)",IF(K774&lt;=Assumptions!$B$6,"Protest required","Deadline passed — litigation only"))))</f>
        <v/>
      </c>
      <c r="M774" s="20" t="str">
        <f aca="false">IF(K774="","",IF(H774&lt;&gt;"",H774+Assumptions!$B$6,C774+Assumptions!$B$8+Assumptions!$B$6))</f>
        <v/>
      </c>
      <c r="N774" s="20" t="str">
        <f aca="false">IF(K774="","",IF(K774&lt;0,IF(H774&lt;&gt;"",H774+Assumptions!$B$7,C774+Assumptions!$B$8+Assumptions!$B$7),M774))</f>
        <v/>
      </c>
      <c r="O774" s="21" t="str">
        <f aca="false">IF(N774="","",N774-Assumptions!$D$5)</f>
        <v/>
      </c>
      <c r="P774" s="22"/>
      <c r="Q774" s="22"/>
      <c r="R774" s="18" t="str">
        <f aca="false">IF(Q774="","",Q774*IF(LEFT(L774,7)="Phase 1",Assumptions!$B$11,Assumptions!$B$12))</f>
        <v/>
      </c>
    </row>
    <row r="775" customFormat="false" ht="15" hidden="false" customHeight="true" outlineLevel="0" collapsed="false">
      <c r="C775" s="24"/>
      <c r="F775" s="22"/>
      <c r="G775" s="23"/>
      <c r="H775" s="24"/>
      <c r="J775" s="18" t="str">
        <f aca="false">IF(F775="","",F775*G775)</f>
        <v/>
      </c>
      <c r="K775" s="5" t="str">
        <f aca="false">IF(A775="","",IF(H775&lt;&gt;"",Assumptions!$D$5-H775,IF(C775="","",Assumptions!$D$5-(C775+Assumptions!$B$8))))</f>
        <v/>
      </c>
      <c r="L775" s="5" t="str">
        <f aca="false">IF(K775="","",IF(K775&lt;0,"Phase 1 (unliquidated)",IF(K775&lt;=Assumptions!$B$7,"Phase 1 (recently liquidated)",IF(K775&lt;=Assumptions!$B$6,"Protest required","Deadline passed — litigation only"))))</f>
        <v/>
      </c>
      <c r="M775" s="20" t="str">
        <f aca="false">IF(K775="","",IF(H775&lt;&gt;"",H775+Assumptions!$B$6,C775+Assumptions!$B$8+Assumptions!$B$6))</f>
        <v/>
      </c>
      <c r="N775" s="20" t="str">
        <f aca="false">IF(K775="","",IF(K775&lt;0,IF(H775&lt;&gt;"",H775+Assumptions!$B$7,C775+Assumptions!$B$8+Assumptions!$B$7),M775))</f>
        <v/>
      </c>
      <c r="O775" s="21" t="str">
        <f aca="false">IF(N775="","",N775-Assumptions!$D$5)</f>
        <v/>
      </c>
      <c r="P775" s="22"/>
      <c r="Q775" s="22"/>
      <c r="R775" s="18" t="str">
        <f aca="false">IF(Q775="","",Q775*IF(LEFT(L775,7)="Phase 1",Assumptions!$B$11,Assumptions!$B$12))</f>
        <v/>
      </c>
    </row>
    <row r="776" customFormat="false" ht="15" hidden="false" customHeight="true" outlineLevel="0" collapsed="false">
      <c r="C776" s="24"/>
      <c r="F776" s="22"/>
      <c r="G776" s="23"/>
      <c r="H776" s="24"/>
      <c r="J776" s="18" t="str">
        <f aca="false">IF(F776="","",F776*G776)</f>
        <v/>
      </c>
      <c r="K776" s="5" t="str">
        <f aca="false">IF(A776="","",IF(H776&lt;&gt;"",Assumptions!$D$5-H776,IF(C776="","",Assumptions!$D$5-(C776+Assumptions!$B$8))))</f>
        <v/>
      </c>
      <c r="L776" s="5" t="str">
        <f aca="false">IF(K776="","",IF(K776&lt;0,"Phase 1 (unliquidated)",IF(K776&lt;=Assumptions!$B$7,"Phase 1 (recently liquidated)",IF(K776&lt;=Assumptions!$B$6,"Protest required","Deadline passed — litigation only"))))</f>
        <v/>
      </c>
      <c r="M776" s="20" t="str">
        <f aca="false">IF(K776="","",IF(H776&lt;&gt;"",H776+Assumptions!$B$6,C776+Assumptions!$B$8+Assumptions!$B$6))</f>
        <v/>
      </c>
      <c r="N776" s="20" t="str">
        <f aca="false">IF(K776="","",IF(K776&lt;0,IF(H776&lt;&gt;"",H776+Assumptions!$B$7,C776+Assumptions!$B$8+Assumptions!$B$7),M776))</f>
        <v/>
      </c>
      <c r="O776" s="21" t="str">
        <f aca="false">IF(N776="","",N776-Assumptions!$D$5)</f>
        <v/>
      </c>
      <c r="P776" s="22"/>
      <c r="Q776" s="22"/>
      <c r="R776" s="18" t="str">
        <f aca="false">IF(Q776="","",Q776*IF(LEFT(L776,7)="Phase 1",Assumptions!$B$11,Assumptions!$B$12))</f>
        <v/>
      </c>
    </row>
    <row r="777" customFormat="false" ht="15" hidden="false" customHeight="true" outlineLevel="0" collapsed="false">
      <c r="C777" s="24"/>
      <c r="F777" s="22"/>
      <c r="G777" s="23"/>
      <c r="H777" s="24"/>
      <c r="J777" s="18" t="str">
        <f aca="false">IF(F777="","",F777*G777)</f>
        <v/>
      </c>
      <c r="K777" s="5" t="str">
        <f aca="false">IF(A777="","",IF(H777&lt;&gt;"",Assumptions!$D$5-H777,IF(C777="","",Assumptions!$D$5-(C777+Assumptions!$B$8))))</f>
        <v/>
      </c>
      <c r="L777" s="5" t="str">
        <f aca="false">IF(K777="","",IF(K777&lt;0,"Phase 1 (unliquidated)",IF(K777&lt;=Assumptions!$B$7,"Phase 1 (recently liquidated)",IF(K777&lt;=Assumptions!$B$6,"Protest required","Deadline passed — litigation only"))))</f>
        <v/>
      </c>
      <c r="M777" s="20" t="str">
        <f aca="false">IF(K777="","",IF(H777&lt;&gt;"",H777+Assumptions!$B$6,C777+Assumptions!$B$8+Assumptions!$B$6))</f>
        <v/>
      </c>
      <c r="N777" s="20" t="str">
        <f aca="false">IF(K777="","",IF(K777&lt;0,IF(H777&lt;&gt;"",H777+Assumptions!$B$7,C777+Assumptions!$B$8+Assumptions!$B$7),M777))</f>
        <v/>
      </c>
      <c r="O777" s="21" t="str">
        <f aca="false">IF(N777="","",N777-Assumptions!$D$5)</f>
        <v/>
      </c>
      <c r="P777" s="22"/>
      <c r="Q777" s="22"/>
      <c r="R777" s="18" t="str">
        <f aca="false">IF(Q777="","",Q777*IF(LEFT(L777,7)="Phase 1",Assumptions!$B$11,Assumptions!$B$12))</f>
        <v/>
      </c>
    </row>
    <row r="778" customFormat="false" ht="15" hidden="false" customHeight="true" outlineLevel="0" collapsed="false">
      <c r="C778" s="24"/>
      <c r="F778" s="22"/>
      <c r="G778" s="23"/>
      <c r="H778" s="24"/>
      <c r="J778" s="18" t="str">
        <f aca="false">IF(F778="","",F778*G778)</f>
        <v/>
      </c>
      <c r="K778" s="5" t="str">
        <f aca="false">IF(A778="","",IF(H778&lt;&gt;"",Assumptions!$D$5-H778,IF(C778="","",Assumptions!$D$5-(C778+Assumptions!$B$8))))</f>
        <v/>
      </c>
      <c r="L778" s="5" t="str">
        <f aca="false">IF(K778="","",IF(K778&lt;0,"Phase 1 (unliquidated)",IF(K778&lt;=Assumptions!$B$7,"Phase 1 (recently liquidated)",IF(K778&lt;=Assumptions!$B$6,"Protest required","Deadline passed — litigation only"))))</f>
        <v/>
      </c>
      <c r="M778" s="20" t="str">
        <f aca="false">IF(K778="","",IF(H778&lt;&gt;"",H778+Assumptions!$B$6,C778+Assumptions!$B$8+Assumptions!$B$6))</f>
        <v/>
      </c>
      <c r="N778" s="20" t="str">
        <f aca="false">IF(K778="","",IF(K778&lt;0,IF(H778&lt;&gt;"",H778+Assumptions!$B$7,C778+Assumptions!$B$8+Assumptions!$B$7),M778))</f>
        <v/>
      </c>
      <c r="O778" s="21" t="str">
        <f aca="false">IF(N778="","",N778-Assumptions!$D$5)</f>
        <v/>
      </c>
      <c r="P778" s="22"/>
      <c r="Q778" s="22"/>
      <c r="R778" s="18" t="str">
        <f aca="false">IF(Q778="","",Q778*IF(LEFT(L778,7)="Phase 1",Assumptions!$B$11,Assumptions!$B$12))</f>
        <v/>
      </c>
    </row>
    <row r="779" customFormat="false" ht="15" hidden="false" customHeight="true" outlineLevel="0" collapsed="false">
      <c r="C779" s="24"/>
      <c r="F779" s="22"/>
      <c r="G779" s="23"/>
      <c r="H779" s="24"/>
      <c r="J779" s="18" t="str">
        <f aca="false">IF(F779="","",F779*G779)</f>
        <v/>
      </c>
      <c r="K779" s="5" t="str">
        <f aca="false">IF(A779="","",IF(H779&lt;&gt;"",Assumptions!$D$5-H779,IF(C779="","",Assumptions!$D$5-(C779+Assumptions!$B$8))))</f>
        <v/>
      </c>
      <c r="L779" s="5" t="str">
        <f aca="false">IF(K779="","",IF(K779&lt;0,"Phase 1 (unliquidated)",IF(K779&lt;=Assumptions!$B$7,"Phase 1 (recently liquidated)",IF(K779&lt;=Assumptions!$B$6,"Protest required","Deadline passed — litigation only"))))</f>
        <v/>
      </c>
      <c r="M779" s="20" t="str">
        <f aca="false">IF(K779="","",IF(H779&lt;&gt;"",H779+Assumptions!$B$6,C779+Assumptions!$B$8+Assumptions!$B$6))</f>
        <v/>
      </c>
      <c r="N779" s="20" t="str">
        <f aca="false">IF(K779="","",IF(K779&lt;0,IF(H779&lt;&gt;"",H779+Assumptions!$B$7,C779+Assumptions!$B$8+Assumptions!$B$7),M779))</f>
        <v/>
      </c>
      <c r="O779" s="21" t="str">
        <f aca="false">IF(N779="","",N779-Assumptions!$D$5)</f>
        <v/>
      </c>
      <c r="P779" s="22"/>
      <c r="Q779" s="22"/>
      <c r="R779" s="18" t="str">
        <f aca="false">IF(Q779="","",Q779*IF(LEFT(L779,7)="Phase 1",Assumptions!$B$11,Assumptions!$B$12))</f>
        <v/>
      </c>
    </row>
    <row r="780" customFormat="false" ht="15" hidden="false" customHeight="true" outlineLevel="0" collapsed="false">
      <c r="C780" s="24"/>
      <c r="F780" s="22"/>
      <c r="G780" s="23"/>
      <c r="H780" s="24"/>
      <c r="J780" s="18" t="str">
        <f aca="false">IF(F780="","",F780*G780)</f>
        <v/>
      </c>
      <c r="K780" s="5" t="str">
        <f aca="false">IF(A780="","",IF(H780&lt;&gt;"",Assumptions!$D$5-H780,IF(C780="","",Assumptions!$D$5-(C780+Assumptions!$B$8))))</f>
        <v/>
      </c>
      <c r="L780" s="5" t="str">
        <f aca="false">IF(K780="","",IF(K780&lt;0,"Phase 1 (unliquidated)",IF(K780&lt;=Assumptions!$B$7,"Phase 1 (recently liquidated)",IF(K780&lt;=Assumptions!$B$6,"Protest required","Deadline passed — litigation only"))))</f>
        <v/>
      </c>
      <c r="M780" s="20" t="str">
        <f aca="false">IF(K780="","",IF(H780&lt;&gt;"",H780+Assumptions!$B$6,C780+Assumptions!$B$8+Assumptions!$B$6))</f>
        <v/>
      </c>
      <c r="N780" s="20" t="str">
        <f aca="false">IF(K780="","",IF(K780&lt;0,IF(H780&lt;&gt;"",H780+Assumptions!$B$7,C780+Assumptions!$B$8+Assumptions!$B$7),M780))</f>
        <v/>
      </c>
      <c r="O780" s="21" t="str">
        <f aca="false">IF(N780="","",N780-Assumptions!$D$5)</f>
        <v/>
      </c>
      <c r="P780" s="22"/>
      <c r="Q780" s="22"/>
      <c r="R780" s="18" t="str">
        <f aca="false">IF(Q780="","",Q780*IF(LEFT(L780,7)="Phase 1",Assumptions!$B$11,Assumptions!$B$12))</f>
        <v/>
      </c>
    </row>
    <row r="781" customFormat="false" ht="15" hidden="false" customHeight="true" outlineLevel="0" collapsed="false">
      <c r="C781" s="24"/>
      <c r="F781" s="22"/>
      <c r="G781" s="23"/>
      <c r="H781" s="24"/>
      <c r="J781" s="18" t="str">
        <f aca="false">IF(F781="","",F781*G781)</f>
        <v/>
      </c>
      <c r="K781" s="5" t="str">
        <f aca="false">IF(A781="","",IF(H781&lt;&gt;"",Assumptions!$D$5-H781,IF(C781="","",Assumptions!$D$5-(C781+Assumptions!$B$8))))</f>
        <v/>
      </c>
      <c r="L781" s="5" t="str">
        <f aca="false">IF(K781="","",IF(K781&lt;0,"Phase 1 (unliquidated)",IF(K781&lt;=Assumptions!$B$7,"Phase 1 (recently liquidated)",IF(K781&lt;=Assumptions!$B$6,"Protest required","Deadline passed — litigation only"))))</f>
        <v/>
      </c>
      <c r="M781" s="20" t="str">
        <f aca="false">IF(K781="","",IF(H781&lt;&gt;"",H781+Assumptions!$B$6,C781+Assumptions!$B$8+Assumptions!$B$6))</f>
        <v/>
      </c>
      <c r="N781" s="20" t="str">
        <f aca="false">IF(K781="","",IF(K781&lt;0,IF(H781&lt;&gt;"",H781+Assumptions!$B$7,C781+Assumptions!$B$8+Assumptions!$B$7),M781))</f>
        <v/>
      </c>
      <c r="O781" s="21" t="str">
        <f aca="false">IF(N781="","",N781-Assumptions!$D$5)</f>
        <v/>
      </c>
      <c r="P781" s="22"/>
      <c r="Q781" s="22"/>
      <c r="R781" s="18" t="str">
        <f aca="false">IF(Q781="","",Q781*IF(LEFT(L781,7)="Phase 1",Assumptions!$B$11,Assumptions!$B$12))</f>
        <v/>
      </c>
    </row>
    <row r="782" customFormat="false" ht="15" hidden="false" customHeight="true" outlineLevel="0" collapsed="false">
      <c r="C782" s="24"/>
      <c r="F782" s="22"/>
      <c r="G782" s="23"/>
      <c r="H782" s="24"/>
      <c r="J782" s="18" t="str">
        <f aca="false">IF(F782="","",F782*G782)</f>
        <v/>
      </c>
      <c r="K782" s="5" t="str">
        <f aca="false">IF(A782="","",IF(H782&lt;&gt;"",Assumptions!$D$5-H782,IF(C782="","",Assumptions!$D$5-(C782+Assumptions!$B$8))))</f>
        <v/>
      </c>
      <c r="L782" s="5" t="str">
        <f aca="false">IF(K782="","",IF(K782&lt;0,"Phase 1 (unliquidated)",IF(K782&lt;=Assumptions!$B$7,"Phase 1 (recently liquidated)",IF(K782&lt;=Assumptions!$B$6,"Protest required","Deadline passed — litigation only"))))</f>
        <v/>
      </c>
      <c r="M782" s="20" t="str">
        <f aca="false">IF(K782="","",IF(H782&lt;&gt;"",H782+Assumptions!$B$6,C782+Assumptions!$B$8+Assumptions!$B$6))</f>
        <v/>
      </c>
      <c r="N782" s="20" t="str">
        <f aca="false">IF(K782="","",IF(K782&lt;0,IF(H782&lt;&gt;"",H782+Assumptions!$B$7,C782+Assumptions!$B$8+Assumptions!$B$7),M782))</f>
        <v/>
      </c>
      <c r="O782" s="21" t="str">
        <f aca="false">IF(N782="","",N782-Assumptions!$D$5)</f>
        <v/>
      </c>
      <c r="P782" s="22"/>
      <c r="Q782" s="22"/>
      <c r="R782" s="18" t="str">
        <f aca="false">IF(Q782="","",Q782*IF(LEFT(L782,7)="Phase 1",Assumptions!$B$11,Assumptions!$B$12))</f>
        <v/>
      </c>
    </row>
    <row r="783" customFormat="false" ht="15" hidden="false" customHeight="true" outlineLevel="0" collapsed="false">
      <c r="C783" s="24"/>
      <c r="F783" s="22"/>
      <c r="G783" s="23"/>
      <c r="H783" s="24"/>
      <c r="J783" s="18" t="str">
        <f aca="false">IF(F783="","",F783*G783)</f>
        <v/>
      </c>
      <c r="K783" s="5" t="str">
        <f aca="false">IF(A783="","",IF(H783&lt;&gt;"",Assumptions!$D$5-H783,IF(C783="","",Assumptions!$D$5-(C783+Assumptions!$B$8))))</f>
        <v/>
      </c>
      <c r="L783" s="5" t="str">
        <f aca="false">IF(K783="","",IF(K783&lt;0,"Phase 1 (unliquidated)",IF(K783&lt;=Assumptions!$B$7,"Phase 1 (recently liquidated)",IF(K783&lt;=Assumptions!$B$6,"Protest required","Deadline passed — litigation only"))))</f>
        <v/>
      </c>
      <c r="M783" s="20" t="str">
        <f aca="false">IF(K783="","",IF(H783&lt;&gt;"",H783+Assumptions!$B$6,C783+Assumptions!$B$8+Assumptions!$B$6))</f>
        <v/>
      </c>
      <c r="N783" s="20" t="str">
        <f aca="false">IF(K783="","",IF(K783&lt;0,IF(H783&lt;&gt;"",H783+Assumptions!$B$7,C783+Assumptions!$B$8+Assumptions!$B$7),M783))</f>
        <v/>
      </c>
      <c r="O783" s="21" t="str">
        <f aca="false">IF(N783="","",N783-Assumptions!$D$5)</f>
        <v/>
      </c>
      <c r="P783" s="22"/>
      <c r="Q783" s="22"/>
      <c r="R783" s="18" t="str">
        <f aca="false">IF(Q783="","",Q783*IF(LEFT(L783,7)="Phase 1",Assumptions!$B$11,Assumptions!$B$12))</f>
        <v/>
      </c>
    </row>
    <row r="784" customFormat="false" ht="15" hidden="false" customHeight="true" outlineLevel="0" collapsed="false">
      <c r="C784" s="24"/>
      <c r="F784" s="22"/>
      <c r="G784" s="23"/>
      <c r="H784" s="24"/>
      <c r="J784" s="18" t="str">
        <f aca="false">IF(F784="","",F784*G784)</f>
        <v/>
      </c>
      <c r="K784" s="5" t="str">
        <f aca="false">IF(A784="","",IF(H784&lt;&gt;"",Assumptions!$D$5-H784,IF(C784="","",Assumptions!$D$5-(C784+Assumptions!$B$8))))</f>
        <v/>
      </c>
      <c r="L784" s="5" t="str">
        <f aca="false">IF(K784="","",IF(K784&lt;0,"Phase 1 (unliquidated)",IF(K784&lt;=Assumptions!$B$7,"Phase 1 (recently liquidated)",IF(K784&lt;=Assumptions!$B$6,"Protest required","Deadline passed — litigation only"))))</f>
        <v/>
      </c>
      <c r="M784" s="20" t="str">
        <f aca="false">IF(K784="","",IF(H784&lt;&gt;"",H784+Assumptions!$B$6,C784+Assumptions!$B$8+Assumptions!$B$6))</f>
        <v/>
      </c>
      <c r="N784" s="20" t="str">
        <f aca="false">IF(K784="","",IF(K784&lt;0,IF(H784&lt;&gt;"",H784+Assumptions!$B$7,C784+Assumptions!$B$8+Assumptions!$B$7),M784))</f>
        <v/>
      </c>
      <c r="O784" s="21" t="str">
        <f aca="false">IF(N784="","",N784-Assumptions!$D$5)</f>
        <v/>
      </c>
      <c r="P784" s="22"/>
      <c r="Q784" s="22"/>
      <c r="R784" s="18" t="str">
        <f aca="false">IF(Q784="","",Q784*IF(LEFT(L784,7)="Phase 1",Assumptions!$B$11,Assumptions!$B$12))</f>
        <v/>
      </c>
    </row>
    <row r="785" customFormat="false" ht="15" hidden="false" customHeight="true" outlineLevel="0" collapsed="false">
      <c r="C785" s="24"/>
      <c r="F785" s="22"/>
      <c r="G785" s="23"/>
      <c r="H785" s="24"/>
      <c r="J785" s="18" t="str">
        <f aca="false">IF(F785="","",F785*G785)</f>
        <v/>
      </c>
      <c r="K785" s="5" t="str">
        <f aca="false">IF(A785="","",IF(H785&lt;&gt;"",Assumptions!$D$5-H785,IF(C785="","",Assumptions!$D$5-(C785+Assumptions!$B$8))))</f>
        <v/>
      </c>
      <c r="L785" s="5" t="str">
        <f aca="false">IF(K785="","",IF(K785&lt;0,"Phase 1 (unliquidated)",IF(K785&lt;=Assumptions!$B$7,"Phase 1 (recently liquidated)",IF(K785&lt;=Assumptions!$B$6,"Protest required","Deadline passed — litigation only"))))</f>
        <v/>
      </c>
      <c r="M785" s="20" t="str">
        <f aca="false">IF(K785="","",IF(H785&lt;&gt;"",H785+Assumptions!$B$6,C785+Assumptions!$B$8+Assumptions!$B$6))</f>
        <v/>
      </c>
      <c r="N785" s="20" t="str">
        <f aca="false">IF(K785="","",IF(K785&lt;0,IF(H785&lt;&gt;"",H785+Assumptions!$B$7,C785+Assumptions!$B$8+Assumptions!$B$7),M785))</f>
        <v/>
      </c>
      <c r="O785" s="21" t="str">
        <f aca="false">IF(N785="","",N785-Assumptions!$D$5)</f>
        <v/>
      </c>
      <c r="P785" s="22"/>
      <c r="Q785" s="22"/>
      <c r="R785" s="18" t="str">
        <f aca="false">IF(Q785="","",Q785*IF(LEFT(L785,7)="Phase 1",Assumptions!$B$11,Assumptions!$B$12))</f>
        <v/>
      </c>
    </row>
    <row r="786" customFormat="false" ht="15" hidden="false" customHeight="true" outlineLevel="0" collapsed="false">
      <c r="C786" s="24"/>
      <c r="F786" s="22"/>
      <c r="G786" s="23"/>
      <c r="H786" s="24"/>
      <c r="J786" s="18" t="str">
        <f aca="false">IF(F786="","",F786*G786)</f>
        <v/>
      </c>
      <c r="K786" s="5" t="str">
        <f aca="false">IF(A786="","",IF(H786&lt;&gt;"",Assumptions!$D$5-H786,IF(C786="","",Assumptions!$D$5-(C786+Assumptions!$B$8))))</f>
        <v/>
      </c>
      <c r="L786" s="5" t="str">
        <f aca="false">IF(K786="","",IF(K786&lt;0,"Phase 1 (unliquidated)",IF(K786&lt;=Assumptions!$B$7,"Phase 1 (recently liquidated)",IF(K786&lt;=Assumptions!$B$6,"Protest required","Deadline passed — litigation only"))))</f>
        <v/>
      </c>
      <c r="M786" s="20" t="str">
        <f aca="false">IF(K786="","",IF(H786&lt;&gt;"",H786+Assumptions!$B$6,C786+Assumptions!$B$8+Assumptions!$B$6))</f>
        <v/>
      </c>
      <c r="N786" s="20" t="str">
        <f aca="false">IF(K786="","",IF(K786&lt;0,IF(H786&lt;&gt;"",H786+Assumptions!$B$7,C786+Assumptions!$B$8+Assumptions!$B$7),M786))</f>
        <v/>
      </c>
      <c r="O786" s="21" t="str">
        <f aca="false">IF(N786="","",N786-Assumptions!$D$5)</f>
        <v/>
      </c>
      <c r="P786" s="22"/>
      <c r="Q786" s="22"/>
      <c r="R786" s="18" t="str">
        <f aca="false">IF(Q786="","",Q786*IF(LEFT(L786,7)="Phase 1",Assumptions!$B$11,Assumptions!$B$12))</f>
        <v/>
      </c>
    </row>
    <row r="787" customFormat="false" ht="15" hidden="false" customHeight="true" outlineLevel="0" collapsed="false">
      <c r="C787" s="24"/>
      <c r="F787" s="22"/>
      <c r="G787" s="23"/>
      <c r="H787" s="24"/>
      <c r="J787" s="18" t="str">
        <f aca="false">IF(F787="","",F787*G787)</f>
        <v/>
      </c>
      <c r="K787" s="5" t="str">
        <f aca="false">IF(A787="","",IF(H787&lt;&gt;"",Assumptions!$D$5-H787,IF(C787="","",Assumptions!$D$5-(C787+Assumptions!$B$8))))</f>
        <v/>
      </c>
      <c r="L787" s="5" t="str">
        <f aca="false">IF(K787="","",IF(K787&lt;0,"Phase 1 (unliquidated)",IF(K787&lt;=Assumptions!$B$7,"Phase 1 (recently liquidated)",IF(K787&lt;=Assumptions!$B$6,"Protest required","Deadline passed — litigation only"))))</f>
        <v/>
      </c>
      <c r="M787" s="20" t="str">
        <f aca="false">IF(K787="","",IF(H787&lt;&gt;"",H787+Assumptions!$B$6,C787+Assumptions!$B$8+Assumptions!$B$6))</f>
        <v/>
      </c>
      <c r="N787" s="20" t="str">
        <f aca="false">IF(K787="","",IF(K787&lt;0,IF(H787&lt;&gt;"",H787+Assumptions!$B$7,C787+Assumptions!$B$8+Assumptions!$B$7),M787))</f>
        <v/>
      </c>
      <c r="O787" s="21" t="str">
        <f aca="false">IF(N787="","",N787-Assumptions!$D$5)</f>
        <v/>
      </c>
      <c r="P787" s="22"/>
      <c r="Q787" s="22"/>
      <c r="R787" s="18" t="str">
        <f aca="false">IF(Q787="","",Q787*IF(LEFT(L787,7)="Phase 1",Assumptions!$B$11,Assumptions!$B$12))</f>
        <v/>
      </c>
    </row>
    <row r="788" customFormat="false" ht="15" hidden="false" customHeight="true" outlineLevel="0" collapsed="false">
      <c r="C788" s="24"/>
      <c r="F788" s="22"/>
      <c r="G788" s="23"/>
      <c r="H788" s="24"/>
      <c r="J788" s="18" t="str">
        <f aca="false">IF(F788="","",F788*G788)</f>
        <v/>
      </c>
      <c r="K788" s="5" t="str">
        <f aca="false">IF(A788="","",IF(H788&lt;&gt;"",Assumptions!$D$5-H788,IF(C788="","",Assumptions!$D$5-(C788+Assumptions!$B$8))))</f>
        <v/>
      </c>
      <c r="L788" s="5" t="str">
        <f aca="false">IF(K788="","",IF(K788&lt;0,"Phase 1 (unliquidated)",IF(K788&lt;=Assumptions!$B$7,"Phase 1 (recently liquidated)",IF(K788&lt;=Assumptions!$B$6,"Protest required","Deadline passed — litigation only"))))</f>
        <v/>
      </c>
      <c r="M788" s="20" t="str">
        <f aca="false">IF(K788="","",IF(H788&lt;&gt;"",H788+Assumptions!$B$6,C788+Assumptions!$B$8+Assumptions!$B$6))</f>
        <v/>
      </c>
      <c r="N788" s="20" t="str">
        <f aca="false">IF(K788="","",IF(K788&lt;0,IF(H788&lt;&gt;"",H788+Assumptions!$B$7,C788+Assumptions!$B$8+Assumptions!$B$7),M788))</f>
        <v/>
      </c>
      <c r="O788" s="21" t="str">
        <f aca="false">IF(N788="","",N788-Assumptions!$D$5)</f>
        <v/>
      </c>
      <c r="P788" s="22"/>
      <c r="Q788" s="22"/>
      <c r="R788" s="18" t="str">
        <f aca="false">IF(Q788="","",Q788*IF(LEFT(L788,7)="Phase 1",Assumptions!$B$11,Assumptions!$B$12))</f>
        <v/>
      </c>
    </row>
    <row r="789" customFormat="false" ht="15" hidden="false" customHeight="true" outlineLevel="0" collapsed="false">
      <c r="C789" s="24"/>
      <c r="F789" s="22"/>
      <c r="G789" s="23"/>
      <c r="H789" s="24"/>
      <c r="J789" s="18" t="str">
        <f aca="false">IF(F789="","",F789*G789)</f>
        <v/>
      </c>
      <c r="K789" s="5" t="str">
        <f aca="false">IF(A789="","",IF(H789&lt;&gt;"",Assumptions!$D$5-H789,IF(C789="","",Assumptions!$D$5-(C789+Assumptions!$B$8))))</f>
        <v/>
      </c>
      <c r="L789" s="5" t="str">
        <f aca="false">IF(K789="","",IF(K789&lt;0,"Phase 1 (unliquidated)",IF(K789&lt;=Assumptions!$B$7,"Phase 1 (recently liquidated)",IF(K789&lt;=Assumptions!$B$6,"Protest required","Deadline passed — litigation only"))))</f>
        <v/>
      </c>
      <c r="M789" s="20" t="str">
        <f aca="false">IF(K789="","",IF(H789&lt;&gt;"",H789+Assumptions!$B$6,C789+Assumptions!$B$8+Assumptions!$B$6))</f>
        <v/>
      </c>
      <c r="N789" s="20" t="str">
        <f aca="false">IF(K789="","",IF(K789&lt;0,IF(H789&lt;&gt;"",H789+Assumptions!$B$7,C789+Assumptions!$B$8+Assumptions!$B$7),M789))</f>
        <v/>
      </c>
      <c r="O789" s="21" t="str">
        <f aca="false">IF(N789="","",N789-Assumptions!$D$5)</f>
        <v/>
      </c>
      <c r="P789" s="22"/>
      <c r="Q789" s="22"/>
      <c r="R789" s="18" t="str">
        <f aca="false">IF(Q789="","",Q789*IF(LEFT(L789,7)="Phase 1",Assumptions!$B$11,Assumptions!$B$12))</f>
        <v/>
      </c>
    </row>
    <row r="790" customFormat="false" ht="15" hidden="false" customHeight="true" outlineLevel="0" collapsed="false">
      <c r="C790" s="24"/>
      <c r="F790" s="22"/>
      <c r="G790" s="23"/>
      <c r="H790" s="24"/>
      <c r="J790" s="18" t="str">
        <f aca="false">IF(F790="","",F790*G790)</f>
        <v/>
      </c>
      <c r="K790" s="5" t="str">
        <f aca="false">IF(A790="","",IF(H790&lt;&gt;"",Assumptions!$D$5-H790,IF(C790="","",Assumptions!$D$5-(C790+Assumptions!$B$8))))</f>
        <v/>
      </c>
      <c r="L790" s="5" t="str">
        <f aca="false">IF(K790="","",IF(K790&lt;0,"Phase 1 (unliquidated)",IF(K790&lt;=Assumptions!$B$7,"Phase 1 (recently liquidated)",IF(K790&lt;=Assumptions!$B$6,"Protest required","Deadline passed — litigation only"))))</f>
        <v/>
      </c>
      <c r="M790" s="20" t="str">
        <f aca="false">IF(K790="","",IF(H790&lt;&gt;"",H790+Assumptions!$B$6,C790+Assumptions!$B$8+Assumptions!$B$6))</f>
        <v/>
      </c>
      <c r="N790" s="20" t="str">
        <f aca="false">IF(K790="","",IF(K790&lt;0,IF(H790&lt;&gt;"",H790+Assumptions!$B$7,C790+Assumptions!$B$8+Assumptions!$B$7),M790))</f>
        <v/>
      </c>
      <c r="O790" s="21" t="str">
        <f aca="false">IF(N790="","",N790-Assumptions!$D$5)</f>
        <v/>
      </c>
      <c r="P790" s="22"/>
      <c r="Q790" s="22"/>
      <c r="R790" s="18" t="str">
        <f aca="false">IF(Q790="","",Q790*IF(LEFT(L790,7)="Phase 1",Assumptions!$B$11,Assumptions!$B$12))</f>
        <v/>
      </c>
    </row>
    <row r="791" customFormat="false" ht="15" hidden="false" customHeight="true" outlineLevel="0" collapsed="false">
      <c r="C791" s="24"/>
      <c r="F791" s="22"/>
      <c r="G791" s="23"/>
      <c r="H791" s="24"/>
      <c r="J791" s="18" t="str">
        <f aca="false">IF(F791="","",F791*G791)</f>
        <v/>
      </c>
      <c r="K791" s="5" t="str">
        <f aca="false">IF(A791="","",IF(H791&lt;&gt;"",Assumptions!$D$5-H791,IF(C791="","",Assumptions!$D$5-(C791+Assumptions!$B$8))))</f>
        <v/>
      </c>
      <c r="L791" s="5" t="str">
        <f aca="false">IF(K791="","",IF(K791&lt;0,"Phase 1 (unliquidated)",IF(K791&lt;=Assumptions!$B$7,"Phase 1 (recently liquidated)",IF(K791&lt;=Assumptions!$B$6,"Protest required","Deadline passed — litigation only"))))</f>
        <v/>
      </c>
      <c r="M791" s="20" t="str">
        <f aca="false">IF(K791="","",IF(H791&lt;&gt;"",H791+Assumptions!$B$6,C791+Assumptions!$B$8+Assumptions!$B$6))</f>
        <v/>
      </c>
      <c r="N791" s="20" t="str">
        <f aca="false">IF(K791="","",IF(K791&lt;0,IF(H791&lt;&gt;"",H791+Assumptions!$B$7,C791+Assumptions!$B$8+Assumptions!$B$7),M791))</f>
        <v/>
      </c>
      <c r="O791" s="21" t="str">
        <f aca="false">IF(N791="","",N791-Assumptions!$D$5)</f>
        <v/>
      </c>
      <c r="P791" s="22"/>
      <c r="Q791" s="22"/>
      <c r="R791" s="18" t="str">
        <f aca="false">IF(Q791="","",Q791*IF(LEFT(L791,7)="Phase 1",Assumptions!$B$11,Assumptions!$B$12))</f>
        <v/>
      </c>
    </row>
    <row r="792" customFormat="false" ht="15" hidden="false" customHeight="true" outlineLevel="0" collapsed="false">
      <c r="C792" s="24"/>
      <c r="F792" s="22"/>
      <c r="G792" s="23"/>
      <c r="H792" s="24"/>
      <c r="J792" s="18" t="str">
        <f aca="false">IF(F792="","",F792*G792)</f>
        <v/>
      </c>
      <c r="K792" s="5" t="str">
        <f aca="false">IF(A792="","",IF(H792&lt;&gt;"",Assumptions!$D$5-H792,IF(C792="","",Assumptions!$D$5-(C792+Assumptions!$B$8))))</f>
        <v/>
      </c>
      <c r="L792" s="5" t="str">
        <f aca="false">IF(K792="","",IF(K792&lt;0,"Phase 1 (unliquidated)",IF(K792&lt;=Assumptions!$B$7,"Phase 1 (recently liquidated)",IF(K792&lt;=Assumptions!$B$6,"Protest required","Deadline passed — litigation only"))))</f>
        <v/>
      </c>
      <c r="M792" s="20" t="str">
        <f aca="false">IF(K792="","",IF(H792&lt;&gt;"",H792+Assumptions!$B$6,C792+Assumptions!$B$8+Assumptions!$B$6))</f>
        <v/>
      </c>
      <c r="N792" s="20" t="str">
        <f aca="false">IF(K792="","",IF(K792&lt;0,IF(H792&lt;&gt;"",H792+Assumptions!$B$7,C792+Assumptions!$B$8+Assumptions!$B$7),M792))</f>
        <v/>
      </c>
      <c r="O792" s="21" t="str">
        <f aca="false">IF(N792="","",N792-Assumptions!$D$5)</f>
        <v/>
      </c>
      <c r="P792" s="22"/>
      <c r="Q792" s="22"/>
      <c r="R792" s="18" t="str">
        <f aca="false">IF(Q792="","",Q792*IF(LEFT(L792,7)="Phase 1",Assumptions!$B$11,Assumptions!$B$12))</f>
        <v/>
      </c>
    </row>
    <row r="793" customFormat="false" ht="15" hidden="false" customHeight="true" outlineLevel="0" collapsed="false">
      <c r="C793" s="24"/>
      <c r="F793" s="22"/>
      <c r="G793" s="23"/>
      <c r="H793" s="24"/>
      <c r="J793" s="18" t="str">
        <f aca="false">IF(F793="","",F793*G793)</f>
        <v/>
      </c>
      <c r="K793" s="5" t="str">
        <f aca="false">IF(A793="","",IF(H793&lt;&gt;"",Assumptions!$D$5-H793,IF(C793="","",Assumptions!$D$5-(C793+Assumptions!$B$8))))</f>
        <v/>
      </c>
      <c r="L793" s="5" t="str">
        <f aca="false">IF(K793="","",IF(K793&lt;0,"Phase 1 (unliquidated)",IF(K793&lt;=Assumptions!$B$7,"Phase 1 (recently liquidated)",IF(K793&lt;=Assumptions!$B$6,"Protest required","Deadline passed — litigation only"))))</f>
        <v/>
      </c>
      <c r="M793" s="20" t="str">
        <f aca="false">IF(K793="","",IF(H793&lt;&gt;"",H793+Assumptions!$B$6,C793+Assumptions!$B$8+Assumptions!$B$6))</f>
        <v/>
      </c>
      <c r="N793" s="20" t="str">
        <f aca="false">IF(K793="","",IF(K793&lt;0,IF(H793&lt;&gt;"",H793+Assumptions!$B$7,C793+Assumptions!$B$8+Assumptions!$B$7),M793))</f>
        <v/>
      </c>
      <c r="O793" s="21" t="str">
        <f aca="false">IF(N793="","",N793-Assumptions!$D$5)</f>
        <v/>
      </c>
      <c r="P793" s="22"/>
      <c r="Q793" s="22"/>
      <c r="R793" s="18" t="str">
        <f aca="false">IF(Q793="","",Q793*IF(LEFT(L793,7)="Phase 1",Assumptions!$B$11,Assumptions!$B$12))</f>
        <v/>
      </c>
    </row>
    <row r="794" customFormat="false" ht="15" hidden="false" customHeight="true" outlineLevel="0" collapsed="false">
      <c r="C794" s="24"/>
      <c r="F794" s="22"/>
      <c r="G794" s="23"/>
      <c r="H794" s="24"/>
      <c r="J794" s="18" t="str">
        <f aca="false">IF(F794="","",F794*G794)</f>
        <v/>
      </c>
      <c r="K794" s="5" t="str">
        <f aca="false">IF(A794="","",IF(H794&lt;&gt;"",Assumptions!$D$5-H794,IF(C794="","",Assumptions!$D$5-(C794+Assumptions!$B$8))))</f>
        <v/>
      </c>
      <c r="L794" s="5" t="str">
        <f aca="false">IF(K794="","",IF(K794&lt;0,"Phase 1 (unliquidated)",IF(K794&lt;=Assumptions!$B$7,"Phase 1 (recently liquidated)",IF(K794&lt;=Assumptions!$B$6,"Protest required","Deadline passed — litigation only"))))</f>
        <v/>
      </c>
      <c r="M794" s="20" t="str">
        <f aca="false">IF(K794="","",IF(H794&lt;&gt;"",H794+Assumptions!$B$6,C794+Assumptions!$B$8+Assumptions!$B$6))</f>
        <v/>
      </c>
      <c r="N794" s="20" t="str">
        <f aca="false">IF(K794="","",IF(K794&lt;0,IF(H794&lt;&gt;"",H794+Assumptions!$B$7,C794+Assumptions!$B$8+Assumptions!$B$7),M794))</f>
        <v/>
      </c>
      <c r="O794" s="21" t="str">
        <f aca="false">IF(N794="","",N794-Assumptions!$D$5)</f>
        <v/>
      </c>
      <c r="P794" s="22"/>
      <c r="Q794" s="22"/>
      <c r="R794" s="18" t="str">
        <f aca="false">IF(Q794="","",Q794*IF(LEFT(L794,7)="Phase 1",Assumptions!$B$11,Assumptions!$B$12))</f>
        <v/>
      </c>
    </row>
    <row r="795" customFormat="false" ht="15" hidden="false" customHeight="true" outlineLevel="0" collapsed="false">
      <c r="C795" s="24"/>
      <c r="F795" s="22"/>
      <c r="G795" s="23"/>
      <c r="H795" s="24"/>
      <c r="J795" s="18" t="str">
        <f aca="false">IF(F795="","",F795*G795)</f>
        <v/>
      </c>
      <c r="K795" s="5" t="str">
        <f aca="false">IF(A795="","",IF(H795&lt;&gt;"",Assumptions!$D$5-H795,IF(C795="","",Assumptions!$D$5-(C795+Assumptions!$B$8))))</f>
        <v/>
      </c>
      <c r="L795" s="5" t="str">
        <f aca="false">IF(K795="","",IF(K795&lt;0,"Phase 1 (unliquidated)",IF(K795&lt;=Assumptions!$B$7,"Phase 1 (recently liquidated)",IF(K795&lt;=Assumptions!$B$6,"Protest required","Deadline passed — litigation only"))))</f>
        <v/>
      </c>
      <c r="M795" s="20" t="str">
        <f aca="false">IF(K795="","",IF(H795&lt;&gt;"",H795+Assumptions!$B$6,C795+Assumptions!$B$8+Assumptions!$B$6))</f>
        <v/>
      </c>
      <c r="N795" s="20" t="str">
        <f aca="false">IF(K795="","",IF(K795&lt;0,IF(H795&lt;&gt;"",H795+Assumptions!$B$7,C795+Assumptions!$B$8+Assumptions!$B$7),M795))</f>
        <v/>
      </c>
      <c r="O795" s="21" t="str">
        <f aca="false">IF(N795="","",N795-Assumptions!$D$5)</f>
        <v/>
      </c>
      <c r="P795" s="22"/>
      <c r="Q795" s="22"/>
      <c r="R795" s="18" t="str">
        <f aca="false">IF(Q795="","",Q795*IF(LEFT(L795,7)="Phase 1",Assumptions!$B$11,Assumptions!$B$12))</f>
        <v/>
      </c>
    </row>
    <row r="796" customFormat="false" ht="15" hidden="false" customHeight="true" outlineLevel="0" collapsed="false">
      <c r="C796" s="24"/>
      <c r="F796" s="22"/>
      <c r="G796" s="23"/>
      <c r="H796" s="24"/>
      <c r="J796" s="18" t="str">
        <f aca="false">IF(F796="","",F796*G796)</f>
        <v/>
      </c>
      <c r="K796" s="5" t="str">
        <f aca="false">IF(A796="","",IF(H796&lt;&gt;"",Assumptions!$D$5-H796,IF(C796="","",Assumptions!$D$5-(C796+Assumptions!$B$8))))</f>
        <v/>
      </c>
      <c r="L796" s="5" t="str">
        <f aca="false">IF(K796="","",IF(K796&lt;0,"Phase 1 (unliquidated)",IF(K796&lt;=Assumptions!$B$7,"Phase 1 (recently liquidated)",IF(K796&lt;=Assumptions!$B$6,"Protest required","Deadline passed — litigation only"))))</f>
        <v/>
      </c>
      <c r="M796" s="20" t="str">
        <f aca="false">IF(K796="","",IF(H796&lt;&gt;"",H796+Assumptions!$B$6,C796+Assumptions!$B$8+Assumptions!$B$6))</f>
        <v/>
      </c>
      <c r="N796" s="20" t="str">
        <f aca="false">IF(K796="","",IF(K796&lt;0,IF(H796&lt;&gt;"",H796+Assumptions!$B$7,C796+Assumptions!$B$8+Assumptions!$B$7),M796))</f>
        <v/>
      </c>
      <c r="O796" s="21" t="str">
        <f aca="false">IF(N796="","",N796-Assumptions!$D$5)</f>
        <v/>
      </c>
      <c r="P796" s="22"/>
      <c r="Q796" s="22"/>
      <c r="R796" s="18" t="str">
        <f aca="false">IF(Q796="","",Q796*IF(LEFT(L796,7)="Phase 1",Assumptions!$B$11,Assumptions!$B$12))</f>
        <v/>
      </c>
    </row>
    <row r="797" customFormat="false" ht="15" hidden="false" customHeight="true" outlineLevel="0" collapsed="false">
      <c r="C797" s="24"/>
      <c r="F797" s="22"/>
      <c r="G797" s="23"/>
      <c r="H797" s="24"/>
      <c r="J797" s="18" t="str">
        <f aca="false">IF(F797="","",F797*G797)</f>
        <v/>
      </c>
      <c r="K797" s="5" t="str">
        <f aca="false">IF(A797="","",IF(H797&lt;&gt;"",Assumptions!$D$5-H797,IF(C797="","",Assumptions!$D$5-(C797+Assumptions!$B$8))))</f>
        <v/>
      </c>
      <c r="L797" s="5" t="str">
        <f aca="false">IF(K797="","",IF(K797&lt;0,"Phase 1 (unliquidated)",IF(K797&lt;=Assumptions!$B$7,"Phase 1 (recently liquidated)",IF(K797&lt;=Assumptions!$B$6,"Protest required","Deadline passed — litigation only"))))</f>
        <v/>
      </c>
      <c r="M797" s="20" t="str">
        <f aca="false">IF(K797="","",IF(H797&lt;&gt;"",H797+Assumptions!$B$6,C797+Assumptions!$B$8+Assumptions!$B$6))</f>
        <v/>
      </c>
      <c r="N797" s="20" t="str">
        <f aca="false">IF(K797="","",IF(K797&lt;0,IF(H797&lt;&gt;"",H797+Assumptions!$B$7,C797+Assumptions!$B$8+Assumptions!$B$7),M797))</f>
        <v/>
      </c>
      <c r="O797" s="21" t="str">
        <f aca="false">IF(N797="","",N797-Assumptions!$D$5)</f>
        <v/>
      </c>
      <c r="P797" s="22"/>
      <c r="Q797" s="22"/>
      <c r="R797" s="18" t="str">
        <f aca="false">IF(Q797="","",Q797*IF(LEFT(L797,7)="Phase 1",Assumptions!$B$11,Assumptions!$B$12))</f>
        <v/>
      </c>
    </row>
    <row r="798" customFormat="false" ht="15" hidden="false" customHeight="true" outlineLevel="0" collapsed="false">
      <c r="C798" s="24"/>
      <c r="F798" s="22"/>
      <c r="G798" s="23"/>
      <c r="H798" s="24"/>
      <c r="J798" s="18" t="str">
        <f aca="false">IF(F798="","",F798*G798)</f>
        <v/>
      </c>
      <c r="K798" s="5" t="str">
        <f aca="false">IF(A798="","",IF(H798&lt;&gt;"",Assumptions!$D$5-H798,IF(C798="","",Assumptions!$D$5-(C798+Assumptions!$B$8))))</f>
        <v/>
      </c>
      <c r="L798" s="5" t="str">
        <f aca="false">IF(K798="","",IF(K798&lt;0,"Phase 1 (unliquidated)",IF(K798&lt;=Assumptions!$B$7,"Phase 1 (recently liquidated)",IF(K798&lt;=Assumptions!$B$6,"Protest required","Deadline passed — litigation only"))))</f>
        <v/>
      </c>
      <c r="M798" s="20" t="str">
        <f aca="false">IF(K798="","",IF(H798&lt;&gt;"",H798+Assumptions!$B$6,C798+Assumptions!$B$8+Assumptions!$B$6))</f>
        <v/>
      </c>
      <c r="N798" s="20" t="str">
        <f aca="false">IF(K798="","",IF(K798&lt;0,IF(H798&lt;&gt;"",H798+Assumptions!$B$7,C798+Assumptions!$B$8+Assumptions!$B$7),M798))</f>
        <v/>
      </c>
      <c r="O798" s="21" t="str">
        <f aca="false">IF(N798="","",N798-Assumptions!$D$5)</f>
        <v/>
      </c>
      <c r="P798" s="22"/>
      <c r="Q798" s="22"/>
      <c r="R798" s="18" t="str">
        <f aca="false">IF(Q798="","",Q798*IF(LEFT(L798,7)="Phase 1",Assumptions!$B$11,Assumptions!$B$12))</f>
        <v/>
      </c>
    </row>
    <row r="799" customFormat="false" ht="15" hidden="false" customHeight="true" outlineLevel="0" collapsed="false">
      <c r="C799" s="24"/>
      <c r="F799" s="22"/>
      <c r="G799" s="23"/>
      <c r="H799" s="24"/>
      <c r="J799" s="18" t="str">
        <f aca="false">IF(F799="","",F799*G799)</f>
        <v/>
      </c>
      <c r="K799" s="5" t="str">
        <f aca="false">IF(A799="","",IF(H799&lt;&gt;"",Assumptions!$D$5-H799,IF(C799="","",Assumptions!$D$5-(C799+Assumptions!$B$8))))</f>
        <v/>
      </c>
      <c r="L799" s="5" t="str">
        <f aca="false">IF(K799="","",IF(K799&lt;0,"Phase 1 (unliquidated)",IF(K799&lt;=Assumptions!$B$7,"Phase 1 (recently liquidated)",IF(K799&lt;=Assumptions!$B$6,"Protest required","Deadline passed — litigation only"))))</f>
        <v/>
      </c>
      <c r="M799" s="20" t="str">
        <f aca="false">IF(K799="","",IF(H799&lt;&gt;"",H799+Assumptions!$B$6,C799+Assumptions!$B$8+Assumptions!$B$6))</f>
        <v/>
      </c>
      <c r="N799" s="20" t="str">
        <f aca="false">IF(K799="","",IF(K799&lt;0,IF(H799&lt;&gt;"",H799+Assumptions!$B$7,C799+Assumptions!$B$8+Assumptions!$B$7),M799))</f>
        <v/>
      </c>
      <c r="O799" s="21" t="str">
        <f aca="false">IF(N799="","",N799-Assumptions!$D$5)</f>
        <v/>
      </c>
      <c r="P799" s="22"/>
      <c r="Q799" s="22"/>
      <c r="R799" s="18" t="str">
        <f aca="false">IF(Q799="","",Q799*IF(LEFT(L799,7)="Phase 1",Assumptions!$B$11,Assumptions!$B$12))</f>
        <v/>
      </c>
    </row>
    <row r="800" customFormat="false" ht="15" hidden="false" customHeight="true" outlineLevel="0" collapsed="false">
      <c r="C800" s="24"/>
      <c r="F800" s="22"/>
      <c r="G800" s="23"/>
      <c r="H800" s="24"/>
      <c r="J800" s="18" t="str">
        <f aca="false">IF(F800="","",F800*G800)</f>
        <v/>
      </c>
      <c r="K800" s="5" t="str">
        <f aca="false">IF(A800="","",IF(H800&lt;&gt;"",Assumptions!$D$5-H800,IF(C800="","",Assumptions!$D$5-(C800+Assumptions!$B$8))))</f>
        <v/>
      </c>
      <c r="L800" s="5" t="str">
        <f aca="false">IF(K800="","",IF(K800&lt;0,"Phase 1 (unliquidated)",IF(K800&lt;=Assumptions!$B$7,"Phase 1 (recently liquidated)",IF(K800&lt;=Assumptions!$B$6,"Protest required","Deadline passed — litigation only"))))</f>
        <v/>
      </c>
      <c r="M800" s="20" t="str">
        <f aca="false">IF(K800="","",IF(H800&lt;&gt;"",H800+Assumptions!$B$6,C800+Assumptions!$B$8+Assumptions!$B$6))</f>
        <v/>
      </c>
      <c r="N800" s="20" t="str">
        <f aca="false">IF(K800="","",IF(K800&lt;0,IF(H800&lt;&gt;"",H800+Assumptions!$B$7,C800+Assumptions!$B$8+Assumptions!$B$7),M800))</f>
        <v/>
      </c>
      <c r="O800" s="21" t="str">
        <f aca="false">IF(N800="","",N800-Assumptions!$D$5)</f>
        <v/>
      </c>
      <c r="P800" s="22"/>
      <c r="Q800" s="22"/>
      <c r="R800" s="18" t="str">
        <f aca="false">IF(Q800="","",Q800*IF(LEFT(L800,7)="Phase 1",Assumptions!$B$11,Assumptions!$B$12))</f>
        <v/>
      </c>
    </row>
    <row r="801" customFormat="false" ht="15" hidden="false" customHeight="true" outlineLevel="0" collapsed="false">
      <c r="C801" s="24"/>
      <c r="F801" s="22"/>
      <c r="G801" s="23"/>
      <c r="H801" s="24"/>
      <c r="J801" s="18" t="str">
        <f aca="false">IF(F801="","",F801*G801)</f>
        <v/>
      </c>
      <c r="K801" s="5" t="str">
        <f aca="false">IF(A801="","",IF(H801&lt;&gt;"",Assumptions!$D$5-H801,IF(C801="","",Assumptions!$D$5-(C801+Assumptions!$B$8))))</f>
        <v/>
      </c>
      <c r="L801" s="5" t="str">
        <f aca="false">IF(K801="","",IF(K801&lt;0,"Phase 1 (unliquidated)",IF(K801&lt;=Assumptions!$B$7,"Phase 1 (recently liquidated)",IF(K801&lt;=Assumptions!$B$6,"Protest required","Deadline passed — litigation only"))))</f>
        <v/>
      </c>
      <c r="M801" s="20" t="str">
        <f aca="false">IF(K801="","",IF(H801&lt;&gt;"",H801+Assumptions!$B$6,C801+Assumptions!$B$8+Assumptions!$B$6))</f>
        <v/>
      </c>
      <c r="N801" s="20" t="str">
        <f aca="false">IF(K801="","",IF(K801&lt;0,IF(H801&lt;&gt;"",H801+Assumptions!$B$7,C801+Assumptions!$B$8+Assumptions!$B$7),M801))</f>
        <v/>
      </c>
      <c r="O801" s="21" t="str">
        <f aca="false">IF(N801="","",N801-Assumptions!$D$5)</f>
        <v/>
      </c>
      <c r="P801" s="22"/>
      <c r="Q801" s="22"/>
      <c r="R801" s="18" t="str">
        <f aca="false">IF(Q801="","",Q801*IF(LEFT(L801,7)="Phase 1",Assumptions!$B$11,Assumptions!$B$12))</f>
        <v/>
      </c>
    </row>
    <row r="802" customFormat="false" ht="15" hidden="false" customHeight="true" outlineLevel="0" collapsed="false">
      <c r="C802" s="24"/>
      <c r="F802" s="22"/>
      <c r="G802" s="23"/>
      <c r="H802" s="24"/>
      <c r="J802" s="18" t="str">
        <f aca="false">IF(F802="","",F802*G802)</f>
        <v/>
      </c>
      <c r="K802" s="5" t="str">
        <f aca="false">IF(A802="","",IF(H802&lt;&gt;"",Assumptions!$D$5-H802,IF(C802="","",Assumptions!$D$5-(C802+Assumptions!$B$8))))</f>
        <v/>
      </c>
      <c r="L802" s="5" t="str">
        <f aca="false">IF(K802="","",IF(K802&lt;0,"Phase 1 (unliquidated)",IF(K802&lt;=Assumptions!$B$7,"Phase 1 (recently liquidated)",IF(K802&lt;=Assumptions!$B$6,"Protest required","Deadline passed — litigation only"))))</f>
        <v/>
      </c>
      <c r="M802" s="20" t="str">
        <f aca="false">IF(K802="","",IF(H802&lt;&gt;"",H802+Assumptions!$B$6,C802+Assumptions!$B$8+Assumptions!$B$6))</f>
        <v/>
      </c>
      <c r="N802" s="20" t="str">
        <f aca="false">IF(K802="","",IF(K802&lt;0,IF(H802&lt;&gt;"",H802+Assumptions!$B$7,C802+Assumptions!$B$8+Assumptions!$B$7),M802))</f>
        <v/>
      </c>
      <c r="O802" s="21" t="str">
        <f aca="false">IF(N802="","",N802-Assumptions!$D$5)</f>
        <v/>
      </c>
      <c r="P802" s="22"/>
      <c r="Q802" s="22"/>
      <c r="R802" s="18" t="str">
        <f aca="false">IF(Q802="","",Q802*IF(LEFT(L802,7)="Phase 1",Assumptions!$B$11,Assumptions!$B$12))</f>
        <v/>
      </c>
    </row>
    <row r="803" customFormat="false" ht="15" hidden="false" customHeight="true" outlineLevel="0" collapsed="false">
      <c r="C803" s="24"/>
      <c r="F803" s="22"/>
      <c r="G803" s="23"/>
      <c r="H803" s="24"/>
      <c r="J803" s="18" t="str">
        <f aca="false">IF(F803="","",F803*G803)</f>
        <v/>
      </c>
      <c r="K803" s="5" t="str">
        <f aca="false">IF(A803="","",IF(H803&lt;&gt;"",Assumptions!$D$5-H803,IF(C803="","",Assumptions!$D$5-(C803+Assumptions!$B$8))))</f>
        <v/>
      </c>
      <c r="L803" s="5" t="str">
        <f aca="false">IF(K803="","",IF(K803&lt;0,"Phase 1 (unliquidated)",IF(K803&lt;=Assumptions!$B$7,"Phase 1 (recently liquidated)",IF(K803&lt;=Assumptions!$B$6,"Protest required","Deadline passed — litigation only"))))</f>
        <v/>
      </c>
      <c r="M803" s="20" t="str">
        <f aca="false">IF(K803="","",IF(H803&lt;&gt;"",H803+Assumptions!$B$6,C803+Assumptions!$B$8+Assumptions!$B$6))</f>
        <v/>
      </c>
      <c r="N803" s="20" t="str">
        <f aca="false">IF(K803="","",IF(K803&lt;0,IF(H803&lt;&gt;"",H803+Assumptions!$B$7,C803+Assumptions!$B$8+Assumptions!$B$7),M803))</f>
        <v/>
      </c>
      <c r="O803" s="21" t="str">
        <f aca="false">IF(N803="","",N803-Assumptions!$D$5)</f>
        <v/>
      </c>
      <c r="P803" s="22"/>
      <c r="Q803" s="22"/>
      <c r="R803" s="18" t="str">
        <f aca="false">IF(Q803="","",Q803*IF(LEFT(L803,7)="Phase 1",Assumptions!$B$11,Assumptions!$B$12))</f>
        <v/>
      </c>
    </row>
    <row r="804" customFormat="false" ht="15" hidden="false" customHeight="true" outlineLevel="0" collapsed="false">
      <c r="C804" s="24"/>
      <c r="F804" s="22"/>
      <c r="G804" s="23"/>
      <c r="H804" s="24"/>
      <c r="J804" s="18" t="str">
        <f aca="false">IF(F804="","",F804*G804)</f>
        <v/>
      </c>
      <c r="K804" s="5" t="str">
        <f aca="false">IF(A804="","",IF(H804&lt;&gt;"",Assumptions!$D$5-H804,IF(C804="","",Assumptions!$D$5-(C804+Assumptions!$B$8))))</f>
        <v/>
      </c>
      <c r="L804" s="5" t="str">
        <f aca="false">IF(K804="","",IF(K804&lt;0,"Phase 1 (unliquidated)",IF(K804&lt;=Assumptions!$B$7,"Phase 1 (recently liquidated)",IF(K804&lt;=Assumptions!$B$6,"Protest required","Deadline passed — litigation only"))))</f>
        <v/>
      </c>
      <c r="M804" s="20" t="str">
        <f aca="false">IF(K804="","",IF(H804&lt;&gt;"",H804+Assumptions!$B$6,C804+Assumptions!$B$8+Assumptions!$B$6))</f>
        <v/>
      </c>
      <c r="N804" s="20" t="str">
        <f aca="false">IF(K804="","",IF(K804&lt;0,IF(H804&lt;&gt;"",H804+Assumptions!$B$7,C804+Assumptions!$B$8+Assumptions!$B$7),M804))</f>
        <v/>
      </c>
      <c r="O804" s="21" t="str">
        <f aca="false">IF(N804="","",N804-Assumptions!$D$5)</f>
        <v/>
      </c>
      <c r="P804" s="22"/>
      <c r="Q804" s="22"/>
      <c r="R804" s="18" t="str">
        <f aca="false">IF(Q804="","",Q804*IF(LEFT(L804,7)="Phase 1",Assumptions!$B$11,Assumptions!$B$12))</f>
        <v/>
      </c>
    </row>
    <row r="805" customFormat="false" ht="15" hidden="false" customHeight="true" outlineLevel="0" collapsed="false">
      <c r="C805" s="24"/>
      <c r="F805" s="22"/>
      <c r="G805" s="23"/>
      <c r="H805" s="24"/>
      <c r="J805" s="18" t="str">
        <f aca="false">IF(F805="","",F805*G805)</f>
        <v/>
      </c>
      <c r="K805" s="5" t="str">
        <f aca="false">IF(A805="","",IF(H805&lt;&gt;"",Assumptions!$D$5-H805,IF(C805="","",Assumptions!$D$5-(C805+Assumptions!$B$8))))</f>
        <v/>
      </c>
      <c r="L805" s="5" t="str">
        <f aca="false">IF(K805="","",IF(K805&lt;0,"Phase 1 (unliquidated)",IF(K805&lt;=Assumptions!$B$7,"Phase 1 (recently liquidated)",IF(K805&lt;=Assumptions!$B$6,"Protest required","Deadline passed — litigation only"))))</f>
        <v/>
      </c>
      <c r="M805" s="20" t="str">
        <f aca="false">IF(K805="","",IF(H805&lt;&gt;"",H805+Assumptions!$B$6,C805+Assumptions!$B$8+Assumptions!$B$6))</f>
        <v/>
      </c>
      <c r="N805" s="20" t="str">
        <f aca="false">IF(K805="","",IF(K805&lt;0,IF(H805&lt;&gt;"",H805+Assumptions!$B$7,C805+Assumptions!$B$8+Assumptions!$B$7),M805))</f>
        <v/>
      </c>
      <c r="O805" s="21" t="str">
        <f aca="false">IF(N805="","",N805-Assumptions!$D$5)</f>
        <v/>
      </c>
      <c r="P805" s="22"/>
      <c r="Q805" s="22"/>
      <c r="R805" s="18" t="str">
        <f aca="false">IF(Q805="","",Q805*IF(LEFT(L805,7)="Phase 1",Assumptions!$B$11,Assumptions!$B$12))</f>
        <v/>
      </c>
    </row>
    <row r="806" customFormat="false" ht="15" hidden="false" customHeight="true" outlineLevel="0" collapsed="false">
      <c r="C806" s="24"/>
      <c r="F806" s="22"/>
      <c r="G806" s="23"/>
      <c r="H806" s="24"/>
      <c r="J806" s="18" t="str">
        <f aca="false">IF(F806="","",F806*G806)</f>
        <v/>
      </c>
      <c r="K806" s="5" t="str">
        <f aca="false">IF(A806="","",IF(H806&lt;&gt;"",Assumptions!$D$5-H806,IF(C806="","",Assumptions!$D$5-(C806+Assumptions!$B$8))))</f>
        <v/>
      </c>
      <c r="L806" s="5" t="str">
        <f aca="false">IF(K806="","",IF(K806&lt;0,"Phase 1 (unliquidated)",IF(K806&lt;=Assumptions!$B$7,"Phase 1 (recently liquidated)",IF(K806&lt;=Assumptions!$B$6,"Protest required","Deadline passed — litigation only"))))</f>
        <v/>
      </c>
      <c r="M806" s="20" t="str">
        <f aca="false">IF(K806="","",IF(H806&lt;&gt;"",H806+Assumptions!$B$6,C806+Assumptions!$B$8+Assumptions!$B$6))</f>
        <v/>
      </c>
      <c r="N806" s="20" t="str">
        <f aca="false">IF(K806="","",IF(K806&lt;0,IF(H806&lt;&gt;"",H806+Assumptions!$B$7,C806+Assumptions!$B$8+Assumptions!$B$7),M806))</f>
        <v/>
      </c>
      <c r="O806" s="21" t="str">
        <f aca="false">IF(N806="","",N806-Assumptions!$D$5)</f>
        <v/>
      </c>
      <c r="P806" s="22"/>
      <c r="Q806" s="22"/>
      <c r="R806" s="18" t="str">
        <f aca="false">IF(Q806="","",Q806*IF(LEFT(L806,7)="Phase 1",Assumptions!$B$11,Assumptions!$B$12))</f>
        <v/>
      </c>
    </row>
    <row r="807" customFormat="false" ht="15" hidden="false" customHeight="true" outlineLevel="0" collapsed="false">
      <c r="C807" s="24"/>
      <c r="F807" s="22"/>
      <c r="G807" s="23"/>
      <c r="H807" s="24"/>
      <c r="J807" s="18" t="str">
        <f aca="false">IF(F807="","",F807*G807)</f>
        <v/>
      </c>
      <c r="K807" s="5" t="str">
        <f aca="false">IF(A807="","",IF(H807&lt;&gt;"",Assumptions!$D$5-H807,IF(C807="","",Assumptions!$D$5-(C807+Assumptions!$B$8))))</f>
        <v/>
      </c>
      <c r="L807" s="5" t="str">
        <f aca="false">IF(K807="","",IF(K807&lt;0,"Phase 1 (unliquidated)",IF(K807&lt;=Assumptions!$B$7,"Phase 1 (recently liquidated)",IF(K807&lt;=Assumptions!$B$6,"Protest required","Deadline passed — litigation only"))))</f>
        <v/>
      </c>
      <c r="M807" s="20" t="str">
        <f aca="false">IF(K807="","",IF(H807&lt;&gt;"",H807+Assumptions!$B$6,C807+Assumptions!$B$8+Assumptions!$B$6))</f>
        <v/>
      </c>
      <c r="N807" s="20" t="str">
        <f aca="false">IF(K807="","",IF(K807&lt;0,IF(H807&lt;&gt;"",H807+Assumptions!$B$7,C807+Assumptions!$B$8+Assumptions!$B$7),M807))</f>
        <v/>
      </c>
      <c r="O807" s="21" t="str">
        <f aca="false">IF(N807="","",N807-Assumptions!$D$5)</f>
        <v/>
      </c>
      <c r="P807" s="22"/>
      <c r="Q807" s="22"/>
      <c r="R807" s="18" t="str">
        <f aca="false">IF(Q807="","",Q807*IF(LEFT(L807,7)="Phase 1",Assumptions!$B$11,Assumptions!$B$12))</f>
        <v/>
      </c>
    </row>
    <row r="808" customFormat="false" ht="15" hidden="false" customHeight="true" outlineLevel="0" collapsed="false">
      <c r="C808" s="24"/>
      <c r="F808" s="22"/>
      <c r="G808" s="23"/>
      <c r="H808" s="24"/>
      <c r="J808" s="18" t="str">
        <f aca="false">IF(F808="","",F808*G808)</f>
        <v/>
      </c>
      <c r="K808" s="5" t="str">
        <f aca="false">IF(A808="","",IF(H808&lt;&gt;"",Assumptions!$D$5-H808,IF(C808="","",Assumptions!$D$5-(C808+Assumptions!$B$8))))</f>
        <v/>
      </c>
      <c r="L808" s="5" t="str">
        <f aca="false">IF(K808="","",IF(K808&lt;0,"Phase 1 (unliquidated)",IF(K808&lt;=Assumptions!$B$7,"Phase 1 (recently liquidated)",IF(K808&lt;=Assumptions!$B$6,"Protest required","Deadline passed — litigation only"))))</f>
        <v/>
      </c>
      <c r="M808" s="20" t="str">
        <f aca="false">IF(K808="","",IF(H808&lt;&gt;"",H808+Assumptions!$B$6,C808+Assumptions!$B$8+Assumptions!$B$6))</f>
        <v/>
      </c>
      <c r="N808" s="20" t="str">
        <f aca="false">IF(K808="","",IF(K808&lt;0,IF(H808&lt;&gt;"",H808+Assumptions!$B$7,C808+Assumptions!$B$8+Assumptions!$B$7),M808))</f>
        <v/>
      </c>
      <c r="O808" s="21" t="str">
        <f aca="false">IF(N808="","",N808-Assumptions!$D$5)</f>
        <v/>
      </c>
      <c r="P808" s="22"/>
      <c r="Q808" s="22"/>
      <c r="R808" s="18" t="str">
        <f aca="false">IF(Q808="","",Q808*IF(LEFT(L808,7)="Phase 1",Assumptions!$B$11,Assumptions!$B$12))</f>
        <v/>
      </c>
    </row>
    <row r="809" customFormat="false" ht="15" hidden="false" customHeight="true" outlineLevel="0" collapsed="false">
      <c r="C809" s="24"/>
      <c r="F809" s="22"/>
      <c r="G809" s="23"/>
      <c r="H809" s="24"/>
      <c r="J809" s="18" t="str">
        <f aca="false">IF(F809="","",F809*G809)</f>
        <v/>
      </c>
      <c r="K809" s="5" t="str">
        <f aca="false">IF(A809="","",IF(H809&lt;&gt;"",Assumptions!$D$5-H809,IF(C809="","",Assumptions!$D$5-(C809+Assumptions!$B$8))))</f>
        <v/>
      </c>
      <c r="L809" s="5" t="str">
        <f aca="false">IF(K809="","",IF(K809&lt;0,"Phase 1 (unliquidated)",IF(K809&lt;=Assumptions!$B$7,"Phase 1 (recently liquidated)",IF(K809&lt;=Assumptions!$B$6,"Protest required","Deadline passed — litigation only"))))</f>
        <v/>
      </c>
      <c r="M809" s="20" t="str">
        <f aca="false">IF(K809="","",IF(H809&lt;&gt;"",H809+Assumptions!$B$6,C809+Assumptions!$B$8+Assumptions!$B$6))</f>
        <v/>
      </c>
      <c r="N809" s="20" t="str">
        <f aca="false">IF(K809="","",IF(K809&lt;0,IF(H809&lt;&gt;"",H809+Assumptions!$B$7,C809+Assumptions!$B$8+Assumptions!$B$7),M809))</f>
        <v/>
      </c>
      <c r="O809" s="21" t="str">
        <f aca="false">IF(N809="","",N809-Assumptions!$D$5)</f>
        <v/>
      </c>
      <c r="P809" s="22"/>
      <c r="Q809" s="22"/>
      <c r="R809" s="18" t="str">
        <f aca="false">IF(Q809="","",Q809*IF(LEFT(L809,7)="Phase 1",Assumptions!$B$11,Assumptions!$B$12))</f>
        <v/>
      </c>
    </row>
    <row r="810" customFormat="false" ht="15" hidden="false" customHeight="true" outlineLevel="0" collapsed="false">
      <c r="C810" s="24"/>
      <c r="F810" s="22"/>
      <c r="G810" s="23"/>
      <c r="H810" s="24"/>
      <c r="J810" s="18" t="str">
        <f aca="false">IF(F810="","",F810*G810)</f>
        <v/>
      </c>
      <c r="K810" s="5" t="str">
        <f aca="false">IF(A810="","",IF(H810&lt;&gt;"",Assumptions!$D$5-H810,IF(C810="","",Assumptions!$D$5-(C810+Assumptions!$B$8))))</f>
        <v/>
      </c>
      <c r="L810" s="5" t="str">
        <f aca="false">IF(K810="","",IF(K810&lt;0,"Phase 1 (unliquidated)",IF(K810&lt;=Assumptions!$B$7,"Phase 1 (recently liquidated)",IF(K810&lt;=Assumptions!$B$6,"Protest required","Deadline passed — litigation only"))))</f>
        <v/>
      </c>
      <c r="M810" s="20" t="str">
        <f aca="false">IF(K810="","",IF(H810&lt;&gt;"",H810+Assumptions!$B$6,C810+Assumptions!$B$8+Assumptions!$B$6))</f>
        <v/>
      </c>
      <c r="N810" s="20" t="str">
        <f aca="false">IF(K810="","",IF(K810&lt;0,IF(H810&lt;&gt;"",H810+Assumptions!$B$7,C810+Assumptions!$B$8+Assumptions!$B$7),M810))</f>
        <v/>
      </c>
      <c r="O810" s="21" t="str">
        <f aca="false">IF(N810="","",N810-Assumptions!$D$5)</f>
        <v/>
      </c>
      <c r="P810" s="22"/>
      <c r="Q810" s="22"/>
      <c r="R810" s="18" t="str">
        <f aca="false">IF(Q810="","",Q810*IF(LEFT(L810,7)="Phase 1",Assumptions!$B$11,Assumptions!$B$12))</f>
        <v/>
      </c>
    </row>
    <row r="811" customFormat="false" ht="15" hidden="false" customHeight="true" outlineLevel="0" collapsed="false">
      <c r="C811" s="24"/>
      <c r="F811" s="22"/>
      <c r="G811" s="23"/>
      <c r="H811" s="24"/>
      <c r="J811" s="18" t="str">
        <f aca="false">IF(F811="","",F811*G811)</f>
        <v/>
      </c>
      <c r="K811" s="5" t="str">
        <f aca="false">IF(A811="","",IF(H811&lt;&gt;"",Assumptions!$D$5-H811,IF(C811="","",Assumptions!$D$5-(C811+Assumptions!$B$8))))</f>
        <v/>
      </c>
      <c r="L811" s="5" t="str">
        <f aca="false">IF(K811="","",IF(K811&lt;0,"Phase 1 (unliquidated)",IF(K811&lt;=Assumptions!$B$7,"Phase 1 (recently liquidated)",IF(K811&lt;=Assumptions!$B$6,"Protest required","Deadline passed — litigation only"))))</f>
        <v/>
      </c>
      <c r="M811" s="20" t="str">
        <f aca="false">IF(K811="","",IF(H811&lt;&gt;"",H811+Assumptions!$B$6,C811+Assumptions!$B$8+Assumptions!$B$6))</f>
        <v/>
      </c>
      <c r="N811" s="20" t="str">
        <f aca="false">IF(K811="","",IF(K811&lt;0,IF(H811&lt;&gt;"",H811+Assumptions!$B$7,C811+Assumptions!$B$8+Assumptions!$B$7),M811))</f>
        <v/>
      </c>
      <c r="O811" s="21" t="str">
        <f aca="false">IF(N811="","",N811-Assumptions!$D$5)</f>
        <v/>
      </c>
      <c r="P811" s="22"/>
      <c r="Q811" s="22"/>
      <c r="R811" s="18" t="str">
        <f aca="false">IF(Q811="","",Q811*IF(LEFT(L811,7)="Phase 1",Assumptions!$B$11,Assumptions!$B$12))</f>
        <v/>
      </c>
    </row>
    <row r="812" customFormat="false" ht="15" hidden="false" customHeight="true" outlineLevel="0" collapsed="false">
      <c r="C812" s="24"/>
      <c r="F812" s="22"/>
      <c r="G812" s="23"/>
      <c r="H812" s="24"/>
      <c r="J812" s="18" t="str">
        <f aca="false">IF(F812="","",F812*G812)</f>
        <v/>
      </c>
      <c r="K812" s="5" t="str">
        <f aca="false">IF(A812="","",IF(H812&lt;&gt;"",Assumptions!$D$5-H812,IF(C812="","",Assumptions!$D$5-(C812+Assumptions!$B$8))))</f>
        <v/>
      </c>
      <c r="L812" s="5" t="str">
        <f aca="false">IF(K812="","",IF(K812&lt;0,"Phase 1 (unliquidated)",IF(K812&lt;=Assumptions!$B$7,"Phase 1 (recently liquidated)",IF(K812&lt;=Assumptions!$B$6,"Protest required","Deadline passed — litigation only"))))</f>
        <v/>
      </c>
      <c r="M812" s="20" t="str">
        <f aca="false">IF(K812="","",IF(H812&lt;&gt;"",H812+Assumptions!$B$6,C812+Assumptions!$B$8+Assumptions!$B$6))</f>
        <v/>
      </c>
      <c r="N812" s="20" t="str">
        <f aca="false">IF(K812="","",IF(K812&lt;0,IF(H812&lt;&gt;"",H812+Assumptions!$B$7,C812+Assumptions!$B$8+Assumptions!$B$7),M812))</f>
        <v/>
      </c>
      <c r="O812" s="21" t="str">
        <f aca="false">IF(N812="","",N812-Assumptions!$D$5)</f>
        <v/>
      </c>
      <c r="P812" s="22"/>
      <c r="Q812" s="22"/>
      <c r="R812" s="18" t="str">
        <f aca="false">IF(Q812="","",Q812*IF(LEFT(L812,7)="Phase 1",Assumptions!$B$11,Assumptions!$B$12))</f>
        <v/>
      </c>
    </row>
    <row r="813" customFormat="false" ht="15" hidden="false" customHeight="true" outlineLevel="0" collapsed="false">
      <c r="C813" s="24"/>
      <c r="F813" s="22"/>
      <c r="G813" s="23"/>
      <c r="H813" s="24"/>
      <c r="J813" s="18" t="str">
        <f aca="false">IF(F813="","",F813*G813)</f>
        <v/>
      </c>
      <c r="K813" s="5" t="str">
        <f aca="false">IF(A813="","",IF(H813&lt;&gt;"",Assumptions!$D$5-H813,IF(C813="","",Assumptions!$D$5-(C813+Assumptions!$B$8))))</f>
        <v/>
      </c>
      <c r="L813" s="5" t="str">
        <f aca="false">IF(K813="","",IF(K813&lt;0,"Phase 1 (unliquidated)",IF(K813&lt;=Assumptions!$B$7,"Phase 1 (recently liquidated)",IF(K813&lt;=Assumptions!$B$6,"Protest required","Deadline passed — litigation only"))))</f>
        <v/>
      </c>
      <c r="M813" s="20" t="str">
        <f aca="false">IF(K813="","",IF(H813&lt;&gt;"",H813+Assumptions!$B$6,C813+Assumptions!$B$8+Assumptions!$B$6))</f>
        <v/>
      </c>
      <c r="N813" s="20" t="str">
        <f aca="false">IF(K813="","",IF(K813&lt;0,IF(H813&lt;&gt;"",H813+Assumptions!$B$7,C813+Assumptions!$B$8+Assumptions!$B$7),M813))</f>
        <v/>
      </c>
      <c r="O813" s="21" t="str">
        <f aca="false">IF(N813="","",N813-Assumptions!$D$5)</f>
        <v/>
      </c>
      <c r="P813" s="22"/>
      <c r="Q813" s="22"/>
      <c r="R813" s="18" t="str">
        <f aca="false">IF(Q813="","",Q813*IF(LEFT(L813,7)="Phase 1",Assumptions!$B$11,Assumptions!$B$12))</f>
        <v/>
      </c>
    </row>
    <row r="814" customFormat="false" ht="15" hidden="false" customHeight="true" outlineLevel="0" collapsed="false">
      <c r="C814" s="24"/>
      <c r="F814" s="22"/>
      <c r="G814" s="23"/>
      <c r="H814" s="24"/>
      <c r="J814" s="18" t="str">
        <f aca="false">IF(F814="","",F814*G814)</f>
        <v/>
      </c>
      <c r="K814" s="5" t="str">
        <f aca="false">IF(A814="","",IF(H814&lt;&gt;"",Assumptions!$D$5-H814,IF(C814="","",Assumptions!$D$5-(C814+Assumptions!$B$8))))</f>
        <v/>
      </c>
      <c r="L814" s="5" t="str">
        <f aca="false">IF(K814="","",IF(K814&lt;0,"Phase 1 (unliquidated)",IF(K814&lt;=Assumptions!$B$7,"Phase 1 (recently liquidated)",IF(K814&lt;=Assumptions!$B$6,"Protest required","Deadline passed — litigation only"))))</f>
        <v/>
      </c>
      <c r="M814" s="20" t="str">
        <f aca="false">IF(K814="","",IF(H814&lt;&gt;"",H814+Assumptions!$B$6,C814+Assumptions!$B$8+Assumptions!$B$6))</f>
        <v/>
      </c>
      <c r="N814" s="20" t="str">
        <f aca="false">IF(K814="","",IF(K814&lt;0,IF(H814&lt;&gt;"",H814+Assumptions!$B$7,C814+Assumptions!$B$8+Assumptions!$B$7),M814))</f>
        <v/>
      </c>
      <c r="O814" s="21" t="str">
        <f aca="false">IF(N814="","",N814-Assumptions!$D$5)</f>
        <v/>
      </c>
      <c r="P814" s="22"/>
      <c r="Q814" s="22"/>
      <c r="R814" s="18" t="str">
        <f aca="false">IF(Q814="","",Q814*IF(LEFT(L814,7)="Phase 1",Assumptions!$B$11,Assumptions!$B$12))</f>
        <v/>
      </c>
    </row>
    <row r="815" customFormat="false" ht="15" hidden="false" customHeight="true" outlineLevel="0" collapsed="false">
      <c r="C815" s="24"/>
      <c r="F815" s="22"/>
      <c r="G815" s="23"/>
      <c r="H815" s="24"/>
      <c r="J815" s="18" t="str">
        <f aca="false">IF(F815="","",F815*G815)</f>
        <v/>
      </c>
      <c r="K815" s="5" t="str">
        <f aca="false">IF(A815="","",IF(H815&lt;&gt;"",Assumptions!$D$5-H815,IF(C815="","",Assumptions!$D$5-(C815+Assumptions!$B$8))))</f>
        <v/>
      </c>
      <c r="L815" s="5" t="str">
        <f aca="false">IF(K815="","",IF(K815&lt;0,"Phase 1 (unliquidated)",IF(K815&lt;=Assumptions!$B$7,"Phase 1 (recently liquidated)",IF(K815&lt;=Assumptions!$B$6,"Protest required","Deadline passed — litigation only"))))</f>
        <v/>
      </c>
      <c r="M815" s="20" t="str">
        <f aca="false">IF(K815="","",IF(H815&lt;&gt;"",H815+Assumptions!$B$6,C815+Assumptions!$B$8+Assumptions!$B$6))</f>
        <v/>
      </c>
      <c r="N815" s="20" t="str">
        <f aca="false">IF(K815="","",IF(K815&lt;0,IF(H815&lt;&gt;"",H815+Assumptions!$B$7,C815+Assumptions!$B$8+Assumptions!$B$7),M815))</f>
        <v/>
      </c>
      <c r="O815" s="21" t="str">
        <f aca="false">IF(N815="","",N815-Assumptions!$D$5)</f>
        <v/>
      </c>
      <c r="P815" s="22"/>
      <c r="Q815" s="22"/>
      <c r="R815" s="18" t="str">
        <f aca="false">IF(Q815="","",Q815*IF(LEFT(L815,7)="Phase 1",Assumptions!$B$11,Assumptions!$B$12))</f>
        <v/>
      </c>
    </row>
    <row r="816" customFormat="false" ht="15" hidden="false" customHeight="true" outlineLevel="0" collapsed="false">
      <c r="C816" s="24"/>
      <c r="F816" s="22"/>
      <c r="G816" s="23"/>
      <c r="H816" s="24"/>
      <c r="J816" s="18" t="str">
        <f aca="false">IF(F816="","",F816*G816)</f>
        <v/>
      </c>
      <c r="K816" s="5" t="str">
        <f aca="false">IF(A816="","",IF(H816&lt;&gt;"",Assumptions!$D$5-H816,IF(C816="","",Assumptions!$D$5-(C816+Assumptions!$B$8))))</f>
        <v/>
      </c>
      <c r="L816" s="5" t="str">
        <f aca="false">IF(K816="","",IF(K816&lt;0,"Phase 1 (unliquidated)",IF(K816&lt;=Assumptions!$B$7,"Phase 1 (recently liquidated)",IF(K816&lt;=Assumptions!$B$6,"Protest required","Deadline passed — litigation only"))))</f>
        <v/>
      </c>
      <c r="M816" s="20" t="str">
        <f aca="false">IF(K816="","",IF(H816&lt;&gt;"",H816+Assumptions!$B$6,C816+Assumptions!$B$8+Assumptions!$B$6))</f>
        <v/>
      </c>
      <c r="N816" s="20" t="str">
        <f aca="false">IF(K816="","",IF(K816&lt;0,IF(H816&lt;&gt;"",H816+Assumptions!$B$7,C816+Assumptions!$B$8+Assumptions!$B$7),M816))</f>
        <v/>
      </c>
      <c r="O816" s="21" t="str">
        <f aca="false">IF(N816="","",N816-Assumptions!$D$5)</f>
        <v/>
      </c>
      <c r="P816" s="22"/>
      <c r="Q816" s="22"/>
      <c r="R816" s="18" t="str">
        <f aca="false">IF(Q816="","",Q816*IF(LEFT(L816,7)="Phase 1",Assumptions!$B$11,Assumptions!$B$12))</f>
        <v/>
      </c>
    </row>
    <row r="817" customFormat="false" ht="15" hidden="false" customHeight="true" outlineLevel="0" collapsed="false">
      <c r="C817" s="24"/>
      <c r="F817" s="22"/>
      <c r="G817" s="23"/>
      <c r="H817" s="24"/>
      <c r="J817" s="18" t="str">
        <f aca="false">IF(F817="","",F817*G817)</f>
        <v/>
      </c>
      <c r="K817" s="5" t="str">
        <f aca="false">IF(A817="","",IF(H817&lt;&gt;"",Assumptions!$D$5-H817,IF(C817="","",Assumptions!$D$5-(C817+Assumptions!$B$8))))</f>
        <v/>
      </c>
      <c r="L817" s="5" t="str">
        <f aca="false">IF(K817="","",IF(K817&lt;0,"Phase 1 (unliquidated)",IF(K817&lt;=Assumptions!$B$7,"Phase 1 (recently liquidated)",IF(K817&lt;=Assumptions!$B$6,"Protest required","Deadline passed — litigation only"))))</f>
        <v/>
      </c>
      <c r="M817" s="20" t="str">
        <f aca="false">IF(K817="","",IF(H817&lt;&gt;"",H817+Assumptions!$B$6,C817+Assumptions!$B$8+Assumptions!$B$6))</f>
        <v/>
      </c>
      <c r="N817" s="20" t="str">
        <f aca="false">IF(K817="","",IF(K817&lt;0,IF(H817&lt;&gt;"",H817+Assumptions!$B$7,C817+Assumptions!$B$8+Assumptions!$B$7),M817))</f>
        <v/>
      </c>
      <c r="O817" s="21" t="str">
        <f aca="false">IF(N817="","",N817-Assumptions!$D$5)</f>
        <v/>
      </c>
      <c r="P817" s="22"/>
      <c r="Q817" s="22"/>
      <c r="R817" s="18" t="str">
        <f aca="false">IF(Q817="","",Q817*IF(LEFT(L817,7)="Phase 1",Assumptions!$B$11,Assumptions!$B$12))</f>
        <v/>
      </c>
    </row>
    <row r="818" customFormat="false" ht="15" hidden="false" customHeight="true" outlineLevel="0" collapsed="false">
      <c r="C818" s="24"/>
      <c r="F818" s="22"/>
      <c r="G818" s="23"/>
      <c r="H818" s="24"/>
      <c r="J818" s="18" t="str">
        <f aca="false">IF(F818="","",F818*G818)</f>
        <v/>
      </c>
      <c r="K818" s="5" t="str">
        <f aca="false">IF(A818="","",IF(H818&lt;&gt;"",Assumptions!$D$5-H818,IF(C818="","",Assumptions!$D$5-(C818+Assumptions!$B$8))))</f>
        <v/>
      </c>
      <c r="L818" s="5" t="str">
        <f aca="false">IF(K818="","",IF(K818&lt;0,"Phase 1 (unliquidated)",IF(K818&lt;=Assumptions!$B$7,"Phase 1 (recently liquidated)",IF(K818&lt;=Assumptions!$B$6,"Protest required","Deadline passed — litigation only"))))</f>
        <v/>
      </c>
      <c r="M818" s="20" t="str">
        <f aca="false">IF(K818="","",IF(H818&lt;&gt;"",H818+Assumptions!$B$6,C818+Assumptions!$B$8+Assumptions!$B$6))</f>
        <v/>
      </c>
      <c r="N818" s="20" t="str">
        <f aca="false">IF(K818="","",IF(K818&lt;0,IF(H818&lt;&gt;"",H818+Assumptions!$B$7,C818+Assumptions!$B$8+Assumptions!$B$7),M818))</f>
        <v/>
      </c>
      <c r="O818" s="21" t="str">
        <f aca="false">IF(N818="","",N818-Assumptions!$D$5)</f>
        <v/>
      </c>
      <c r="P818" s="22"/>
      <c r="Q818" s="22"/>
      <c r="R818" s="18" t="str">
        <f aca="false">IF(Q818="","",Q818*IF(LEFT(L818,7)="Phase 1",Assumptions!$B$11,Assumptions!$B$12))</f>
        <v/>
      </c>
    </row>
    <row r="819" customFormat="false" ht="15" hidden="false" customHeight="true" outlineLevel="0" collapsed="false">
      <c r="C819" s="24"/>
      <c r="F819" s="22"/>
      <c r="G819" s="23"/>
      <c r="H819" s="24"/>
      <c r="J819" s="18" t="str">
        <f aca="false">IF(F819="","",F819*G819)</f>
        <v/>
      </c>
      <c r="K819" s="5" t="str">
        <f aca="false">IF(A819="","",IF(H819&lt;&gt;"",Assumptions!$D$5-H819,IF(C819="","",Assumptions!$D$5-(C819+Assumptions!$B$8))))</f>
        <v/>
      </c>
      <c r="L819" s="5" t="str">
        <f aca="false">IF(K819="","",IF(K819&lt;0,"Phase 1 (unliquidated)",IF(K819&lt;=Assumptions!$B$7,"Phase 1 (recently liquidated)",IF(K819&lt;=Assumptions!$B$6,"Protest required","Deadline passed — litigation only"))))</f>
        <v/>
      </c>
      <c r="M819" s="20" t="str">
        <f aca="false">IF(K819="","",IF(H819&lt;&gt;"",H819+Assumptions!$B$6,C819+Assumptions!$B$8+Assumptions!$B$6))</f>
        <v/>
      </c>
      <c r="N819" s="20" t="str">
        <f aca="false">IF(K819="","",IF(K819&lt;0,IF(H819&lt;&gt;"",H819+Assumptions!$B$7,C819+Assumptions!$B$8+Assumptions!$B$7),M819))</f>
        <v/>
      </c>
      <c r="O819" s="21" t="str">
        <f aca="false">IF(N819="","",N819-Assumptions!$D$5)</f>
        <v/>
      </c>
      <c r="P819" s="22"/>
      <c r="Q819" s="22"/>
      <c r="R819" s="18" t="str">
        <f aca="false">IF(Q819="","",Q819*IF(LEFT(L819,7)="Phase 1",Assumptions!$B$11,Assumptions!$B$12))</f>
        <v/>
      </c>
    </row>
    <row r="820" customFormat="false" ht="15" hidden="false" customHeight="true" outlineLevel="0" collapsed="false">
      <c r="C820" s="24"/>
      <c r="F820" s="22"/>
      <c r="G820" s="23"/>
      <c r="H820" s="24"/>
      <c r="J820" s="18" t="str">
        <f aca="false">IF(F820="","",F820*G820)</f>
        <v/>
      </c>
      <c r="K820" s="5" t="str">
        <f aca="false">IF(A820="","",IF(H820&lt;&gt;"",Assumptions!$D$5-H820,IF(C820="","",Assumptions!$D$5-(C820+Assumptions!$B$8))))</f>
        <v/>
      </c>
      <c r="L820" s="5" t="str">
        <f aca="false">IF(K820="","",IF(K820&lt;0,"Phase 1 (unliquidated)",IF(K820&lt;=Assumptions!$B$7,"Phase 1 (recently liquidated)",IF(K820&lt;=Assumptions!$B$6,"Protest required","Deadline passed — litigation only"))))</f>
        <v/>
      </c>
      <c r="M820" s="20" t="str">
        <f aca="false">IF(K820="","",IF(H820&lt;&gt;"",H820+Assumptions!$B$6,C820+Assumptions!$B$8+Assumptions!$B$6))</f>
        <v/>
      </c>
      <c r="N820" s="20" t="str">
        <f aca="false">IF(K820="","",IF(K820&lt;0,IF(H820&lt;&gt;"",H820+Assumptions!$B$7,C820+Assumptions!$B$8+Assumptions!$B$7),M820))</f>
        <v/>
      </c>
      <c r="O820" s="21" t="str">
        <f aca="false">IF(N820="","",N820-Assumptions!$D$5)</f>
        <v/>
      </c>
      <c r="P820" s="22"/>
      <c r="Q820" s="22"/>
      <c r="R820" s="18" t="str">
        <f aca="false">IF(Q820="","",Q820*IF(LEFT(L820,7)="Phase 1",Assumptions!$B$11,Assumptions!$B$12))</f>
        <v/>
      </c>
    </row>
    <row r="821" customFormat="false" ht="15" hidden="false" customHeight="true" outlineLevel="0" collapsed="false">
      <c r="C821" s="24"/>
      <c r="F821" s="22"/>
      <c r="G821" s="23"/>
      <c r="H821" s="24"/>
      <c r="J821" s="18" t="str">
        <f aca="false">IF(F821="","",F821*G821)</f>
        <v/>
      </c>
      <c r="K821" s="5" t="str">
        <f aca="false">IF(A821="","",IF(H821&lt;&gt;"",Assumptions!$D$5-H821,IF(C821="","",Assumptions!$D$5-(C821+Assumptions!$B$8))))</f>
        <v/>
      </c>
      <c r="L821" s="5" t="str">
        <f aca="false">IF(K821="","",IF(K821&lt;0,"Phase 1 (unliquidated)",IF(K821&lt;=Assumptions!$B$7,"Phase 1 (recently liquidated)",IF(K821&lt;=Assumptions!$B$6,"Protest required","Deadline passed — litigation only"))))</f>
        <v/>
      </c>
      <c r="M821" s="20" t="str">
        <f aca="false">IF(K821="","",IF(H821&lt;&gt;"",H821+Assumptions!$B$6,C821+Assumptions!$B$8+Assumptions!$B$6))</f>
        <v/>
      </c>
      <c r="N821" s="20" t="str">
        <f aca="false">IF(K821="","",IF(K821&lt;0,IF(H821&lt;&gt;"",H821+Assumptions!$B$7,C821+Assumptions!$B$8+Assumptions!$B$7),M821))</f>
        <v/>
      </c>
      <c r="O821" s="21" t="str">
        <f aca="false">IF(N821="","",N821-Assumptions!$D$5)</f>
        <v/>
      </c>
      <c r="P821" s="22"/>
      <c r="Q821" s="22"/>
      <c r="R821" s="18" t="str">
        <f aca="false">IF(Q821="","",Q821*IF(LEFT(L821,7)="Phase 1",Assumptions!$B$11,Assumptions!$B$12))</f>
        <v/>
      </c>
    </row>
    <row r="822" customFormat="false" ht="15" hidden="false" customHeight="true" outlineLevel="0" collapsed="false">
      <c r="C822" s="24"/>
      <c r="F822" s="22"/>
      <c r="G822" s="23"/>
      <c r="H822" s="24"/>
      <c r="J822" s="18" t="str">
        <f aca="false">IF(F822="","",F822*G822)</f>
        <v/>
      </c>
      <c r="K822" s="5" t="str">
        <f aca="false">IF(A822="","",IF(H822&lt;&gt;"",Assumptions!$D$5-H822,IF(C822="","",Assumptions!$D$5-(C822+Assumptions!$B$8))))</f>
        <v/>
      </c>
      <c r="L822" s="5" t="str">
        <f aca="false">IF(K822="","",IF(K822&lt;0,"Phase 1 (unliquidated)",IF(K822&lt;=Assumptions!$B$7,"Phase 1 (recently liquidated)",IF(K822&lt;=Assumptions!$B$6,"Protest required","Deadline passed — litigation only"))))</f>
        <v/>
      </c>
      <c r="M822" s="20" t="str">
        <f aca="false">IF(K822="","",IF(H822&lt;&gt;"",H822+Assumptions!$B$6,C822+Assumptions!$B$8+Assumptions!$B$6))</f>
        <v/>
      </c>
      <c r="N822" s="20" t="str">
        <f aca="false">IF(K822="","",IF(K822&lt;0,IF(H822&lt;&gt;"",H822+Assumptions!$B$7,C822+Assumptions!$B$8+Assumptions!$B$7),M822))</f>
        <v/>
      </c>
      <c r="O822" s="21" t="str">
        <f aca="false">IF(N822="","",N822-Assumptions!$D$5)</f>
        <v/>
      </c>
      <c r="P822" s="22"/>
      <c r="Q822" s="22"/>
      <c r="R822" s="18" t="str">
        <f aca="false">IF(Q822="","",Q822*IF(LEFT(L822,7)="Phase 1",Assumptions!$B$11,Assumptions!$B$12))</f>
        <v/>
      </c>
    </row>
    <row r="823" customFormat="false" ht="15" hidden="false" customHeight="true" outlineLevel="0" collapsed="false">
      <c r="C823" s="24"/>
      <c r="F823" s="22"/>
      <c r="G823" s="23"/>
      <c r="H823" s="24"/>
      <c r="J823" s="18" t="str">
        <f aca="false">IF(F823="","",F823*G823)</f>
        <v/>
      </c>
      <c r="K823" s="5" t="str">
        <f aca="false">IF(A823="","",IF(H823&lt;&gt;"",Assumptions!$D$5-H823,IF(C823="","",Assumptions!$D$5-(C823+Assumptions!$B$8))))</f>
        <v/>
      </c>
      <c r="L823" s="5" t="str">
        <f aca="false">IF(K823="","",IF(K823&lt;0,"Phase 1 (unliquidated)",IF(K823&lt;=Assumptions!$B$7,"Phase 1 (recently liquidated)",IF(K823&lt;=Assumptions!$B$6,"Protest required","Deadline passed — litigation only"))))</f>
        <v/>
      </c>
      <c r="M823" s="20" t="str">
        <f aca="false">IF(K823="","",IF(H823&lt;&gt;"",H823+Assumptions!$B$6,C823+Assumptions!$B$8+Assumptions!$B$6))</f>
        <v/>
      </c>
      <c r="N823" s="20" t="str">
        <f aca="false">IF(K823="","",IF(K823&lt;0,IF(H823&lt;&gt;"",H823+Assumptions!$B$7,C823+Assumptions!$B$8+Assumptions!$B$7),M823))</f>
        <v/>
      </c>
      <c r="O823" s="21" t="str">
        <f aca="false">IF(N823="","",N823-Assumptions!$D$5)</f>
        <v/>
      </c>
      <c r="P823" s="22"/>
      <c r="Q823" s="22"/>
      <c r="R823" s="18" t="str">
        <f aca="false">IF(Q823="","",Q823*IF(LEFT(L823,7)="Phase 1",Assumptions!$B$11,Assumptions!$B$12))</f>
        <v/>
      </c>
    </row>
    <row r="824" customFormat="false" ht="15" hidden="false" customHeight="true" outlineLevel="0" collapsed="false">
      <c r="C824" s="24"/>
      <c r="F824" s="22"/>
      <c r="G824" s="23"/>
      <c r="H824" s="24"/>
      <c r="J824" s="18" t="str">
        <f aca="false">IF(F824="","",F824*G824)</f>
        <v/>
      </c>
      <c r="K824" s="5" t="str">
        <f aca="false">IF(A824="","",IF(H824&lt;&gt;"",Assumptions!$D$5-H824,IF(C824="","",Assumptions!$D$5-(C824+Assumptions!$B$8))))</f>
        <v/>
      </c>
      <c r="L824" s="5" t="str">
        <f aca="false">IF(K824="","",IF(K824&lt;0,"Phase 1 (unliquidated)",IF(K824&lt;=Assumptions!$B$7,"Phase 1 (recently liquidated)",IF(K824&lt;=Assumptions!$B$6,"Protest required","Deadline passed — litigation only"))))</f>
        <v/>
      </c>
      <c r="M824" s="20" t="str">
        <f aca="false">IF(K824="","",IF(H824&lt;&gt;"",H824+Assumptions!$B$6,C824+Assumptions!$B$8+Assumptions!$B$6))</f>
        <v/>
      </c>
      <c r="N824" s="20" t="str">
        <f aca="false">IF(K824="","",IF(K824&lt;0,IF(H824&lt;&gt;"",H824+Assumptions!$B$7,C824+Assumptions!$B$8+Assumptions!$B$7),M824))</f>
        <v/>
      </c>
      <c r="O824" s="21" t="str">
        <f aca="false">IF(N824="","",N824-Assumptions!$D$5)</f>
        <v/>
      </c>
      <c r="P824" s="22"/>
      <c r="Q824" s="22"/>
      <c r="R824" s="18" t="str">
        <f aca="false">IF(Q824="","",Q824*IF(LEFT(L824,7)="Phase 1",Assumptions!$B$11,Assumptions!$B$12))</f>
        <v/>
      </c>
    </row>
    <row r="825" customFormat="false" ht="15" hidden="false" customHeight="true" outlineLevel="0" collapsed="false">
      <c r="C825" s="24"/>
      <c r="F825" s="22"/>
      <c r="G825" s="23"/>
      <c r="H825" s="24"/>
      <c r="J825" s="18" t="str">
        <f aca="false">IF(F825="","",F825*G825)</f>
        <v/>
      </c>
      <c r="K825" s="5" t="str">
        <f aca="false">IF(A825="","",IF(H825&lt;&gt;"",Assumptions!$D$5-H825,IF(C825="","",Assumptions!$D$5-(C825+Assumptions!$B$8))))</f>
        <v/>
      </c>
      <c r="L825" s="5" t="str">
        <f aca="false">IF(K825="","",IF(K825&lt;0,"Phase 1 (unliquidated)",IF(K825&lt;=Assumptions!$B$7,"Phase 1 (recently liquidated)",IF(K825&lt;=Assumptions!$B$6,"Protest required","Deadline passed — litigation only"))))</f>
        <v/>
      </c>
      <c r="M825" s="20" t="str">
        <f aca="false">IF(K825="","",IF(H825&lt;&gt;"",H825+Assumptions!$B$6,C825+Assumptions!$B$8+Assumptions!$B$6))</f>
        <v/>
      </c>
      <c r="N825" s="20" t="str">
        <f aca="false">IF(K825="","",IF(K825&lt;0,IF(H825&lt;&gt;"",H825+Assumptions!$B$7,C825+Assumptions!$B$8+Assumptions!$B$7),M825))</f>
        <v/>
      </c>
      <c r="O825" s="21" t="str">
        <f aca="false">IF(N825="","",N825-Assumptions!$D$5)</f>
        <v/>
      </c>
      <c r="P825" s="22"/>
      <c r="Q825" s="22"/>
      <c r="R825" s="18" t="str">
        <f aca="false">IF(Q825="","",Q825*IF(LEFT(L825,7)="Phase 1",Assumptions!$B$11,Assumptions!$B$12))</f>
        <v/>
      </c>
    </row>
    <row r="826" customFormat="false" ht="15" hidden="false" customHeight="true" outlineLevel="0" collapsed="false">
      <c r="C826" s="24"/>
      <c r="F826" s="22"/>
      <c r="G826" s="23"/>
      <c r="H826" s="24"/>
      <c r="J826" s="18" t="str">
        <f aca="false">IF(F826="","",F826*G826)</f>
        <v/>
      </c>
      <c r="K826" s="5" t="str">
        <f aca="false">IF(A826="","",IF(H826&lt;&gt;"",Assumptions!$D$5-H826,IF(C826="","",Assumptions!$D$5-(C826+Assumptions!$B$8))))</f>
        <v/>
      </c>
      <c r="L826" s="5" t="str">
        <f aca="false">IF(K826="","",IF(K826&lt;0,"Phase 1 (unliquidated)",IF(K826&lt;=Assumptions!$B$7,"Phase 1 (recently liquidated)",IF(K826&lt;=Assumptions!$B$6,"Protest required","Deadline passed — litigation only"))))</f>
        <v/>
      </c>
      <c r="M826" s="20" t="str">
        <f aca="false">IF(K826="","",IF(H826&lt;&gt;"",H826+Assumptions!$B$6,C826+Assumptions!$B$8+Assumptions!$B$6))</f>
        <v/>
      </c>
      <c r="N826" s="20" t="str">
        <f aca="false">IF(K826="","",IF(K826&lt;0,IF(H826&lt;&gt;"",H826+Assumptions!$B$7,C826+Assumptions!$B$8+Assumptions!$B$7),M826))</f>
        <v/>
      </c>
      <c r="O826" s="21" t="str">
        <f aca="false">IF(N826="","",N826-Assumptions!$D$5)</f>
        <v/>
      </c>
      <c r="P826" s="22"/>
      <c r="Q826" s="22"/>
      <c r="R826" s="18" t="str">
        <f aca="false">IF(Q826="","",Q826*IF(LEFT(L826,7)="Phase 1",Assumptions!$B$11,Assumptions!$B$12))</f>
        <v/>
      </c>
    </row>
    <row r="827" customFormat="false" ht="15" hidden="false" customHeight="true" outlineLevel="0" collapsed="false">
      <c r="C827" s="24"/>
      <c r="F827" s="22"/>
      <c r="G827" s="23"/>
      <c r="H827" s="24"/>
      <c r="J827" s="18" t="str">
        <f aca="false">IF(F827="","",F827*G827)</f>
        <v/>
      </c>
      <c r="K827" s="5" t="str">
        <f aca="false">IF(A827="","",IF(H827&lt;&gt;"",Assumptions!$D$5-H827,IF(C827="","",Assumptions!$D$5-(C827+Assumptions!$B$8))))</f>
        <v/>
      </c>
      <c r="L827" s="5" t="str">
        <f aca="false">IF(K827="","",IF(K827&lt;0,"Phase 1 (unliquidated)",IF(K827&lt;=Assumptions!$B$7,"Phase 1 (recently liquidated)",IF(K827&lt;=Assumptions!$B$6,"Protest required","Deadline passed — litigation only"))))</f>
        <v/>
      </c>
      <c r="M827" s="20" t="str">
        <f aca="false">IF(K827="","",IF(H827&lt;&gt;"",H827+Assumptions!$B$6,C827+Assumptions!$B$8+Assumptions!$B$6))</f>
        <v/>
      </c>
      <c r="N827" s="20" t="str">
        <f aca="false">IF(K827="","",IF(K827&lt;0,IF(H827&lt;&gt;"",H827+Assumptions!$B$7,C827+Assumptions!$B$8+Assumptions!$B$7),M827))</f>
        <v/>
      </c>
      <c r="O827" s="21" t="str">
        <f aca="false">IF(N827="","",N827-Assumptions!$D$5)</f>
        <v/>
      </c>
      <c r="P827" s="22"/>
      <c r="Q827" s="22"/>
      <c r="R827" s="18" t="str">
        <f aca="false">IF(Q827="","",Q827*IF(LEFT(L827,7)="Phase 1",Assumptions!$B$11,Assumptions!$B$12))</f>
        <v/>
      </c>
    </row>
    <row r="828" customFormat="false" ht="15" hidden="false" customHeight="true" outlineLevel="0" collapsed="false">
      <c r="C828" s="24"/>
      <c r="F828" s="22"/>
      <c r="G828" s="23"/>
      <c r="H828" s="24"/>
      <c r="J828" s="18" t="str">
        <f aca="false">IF(F828="","",F828*G828)</f>
        <v/>
      </c>
      <c r="K828" s="5" t="str">
        <f aca="false">IF(A828="","",IF(H828&lt;&gt;"",Assumptions!$D$5-H828,IF(C828="","",Assumptions!$D$5-(C828+Assumptions!$B$8))))</f>
        <v/>
      </c>
      <c r="L828" s="5" t="str">
        <f aca="false">IF(K828="","",IF(K828&lt;0,"Phase 1 (unliquidated)",IF(K828&lt;=Assumptions!$B$7,"Phase 1 (recently liquidated)",IF(K828&lt;=Assumptions!$B$6,"Protest required","Deadline passed — litigation only"))))</f>
        <v/>
      </c>
      <c r="M828" s="20" t="str">
        <f aca="false">IF(K828="","",IF(H828&lt;&gt;"",H828+Assumptions!$B$6,C828+Assumptions!$B$8+Assumptions!$B$6))</f>
        <v/>
      </c>
      <c r="N828" s="20" t="str">
        <f aca="false">IF(K828="","",IF(K828&lt;0,IF(H828&lt;&gt;"",H828+Assumptions!$B$7,C828+Assumptions!$B$8+Assumptions!$B$7),M828))</f>
        <v/>
      </c>
      <c r="O828" s="21" t="str">
        <f aca="false">IF(N828="","",N828-Assumptions!$D$5)</f>
        <v/>
      </c>
      <c r="P828" s="22"/>
      <c r="Q828" s="22"/>
      <c r="R828" s="18" t="str">
        <f aca="false">IF(Q828="","",Q828*IF(LEFT(L828,7)="Phase 1",Assumptions!$B$11,Assumptions!$B$12))</f>
        <v/>
      </c>
    </row>
    <row r="829" customFormat="false" ht="15" hidden="false" customHeight="true" outlineLevel="0" collapsed="false">
      <c r="C829" s="24"/>
      <c r="F829" s="22"/>
      <c r="G829" s="23"/>
      <c r="H829" s="24"/>
      <c r="J829" s="18" t="str">
        <f aca="false">IF(F829="","",F829*G829)</f>
        <v/>
      </c>
      <c r="K829" s="5" t="str">
        <f aca="false">IF(A829="","",IF(H829&lt;&gt;"",Assumptions!$D$5-H829,IF(C829="","",Assumptions!$D$5-(C829+Assumptions!$B$8))))</f>
        <v/>
      </c>
      <c r="L829" s="5" t="str">
        <f aca="false">IF(K829="","",IF(K829&lt;0,"Phase 1 (unliquidated)",IF(K829&lt;=Assumptions!$B$7,"Phase 1 (recently liquidated)",IF(K829&lt;=Assumptions!$B$6,"Protest required","Deadline passed — litigation only"))))</f>
        <v/>
      </c>
      <c r="M829" s="20" t="str">
        <f aca="false">IF(K829="","",IF(H829&lt;&gt;"",H829+Assumptions!$B$6,C829+Assumptions!$B$8+Assumptions!$B$6))</f>
        <v/>
      </c>
      <c r="N829" s="20" t="str">
        <f aca="false">IF(K829="","",IF(K829&lt;0,IF(H829&lt;&gt;"",H829+Assumptions!$B$7,C829+Assumptions!$B$8+Assumptions!$B$7),M829))</f>
        <v/>
      </c>
      <c r="O829" s="21" t="str">
        <f aca="false">IF(N829="","",N829-Assumptions!$D$5)</f>
        <v/>
      </c>
      <c r="P829" s="22"/>
      <c r="Q829" s="22"/>
      <c r="R829" s="18" t="str">
        <f aca="false">IF(Q829="","",Q829*IF(LEFT(L829,7)="Phase 1",Assumptions!$B$11,Assumptions!$B$12))</f>
        <v/>
      </c>
    </row>
    <row r="830" customFormat="false" ht="15" hidden="false" customHeight="true" outlineLevel="0" collapsed="false">
      <c r="C830" s="24"/>
      <c r="F830" s="22"/>
      <c r="G830" s="23"/>
      <c r="H830" s="24"/>
      <c r="J830" s="18" t="str">
        <f aca="false">IF(F830="","",F830*G830)</f>
        <v/>
      </c>
      <c r="K830" s="5" t="str">
        <f aca="false">IF(A830="","",IF(H830&lt;&gt;"",Assumptions!$D$5-H830,IF(C830="","",Assumptions!$D$5-(C830+Assumptions!$B$8))))</f>
        <v/>
      </c>
      <c r="L830" s="5" t="str">
        <f aca="false">IF(K830="","",IF(K830&lt;0,"Phase 1 (unliquidated)",IF(K830&lt;=Assumptions!$B$7,"Phase 1 (recently liquidated)",IF(K830&lt;=Assumptions!$B$6,"Protest required","Deadline passed — litigation only"))))</f>
        <v/>
      </c>
      <c r="M830" s="20" t="str">
        <f aca="false">IF(K830="","",IF(H830&lt;&gt;"",H830+Assumptions!$B$6,C830+Assumptions!$B$8+Assumptions!$B$6))</f>
        <v/>
      </c>
      <c r="N830" s="20" t="str">
        <f aca="false">IF(K830="","",IF(K830&lt;0,IF(H830&lt;&gt;"",H830+Assumptions!$B$7,C830+Assumptions!$B$8+Assumptions!$B$7),M830))</f>
        <v/>
      </c>
      <c r="O830" s="21" t="str">
        <f aca="false">IF(N830="","",N830-Assumptions!$D$5)</f>
        <v/>
      </c>
      <c r="P830" s="22"/>
      <c r="Q830" s="22"/>
      <c r="R830" s="18" t="str">
        <f aca="false">IF(Q830="","",Q830*IF(LEFT(L830,7)="Phase 1",Assumptions!$B$11,Assumptions!$B$12))</f>
        <v/>
      </c>
    </row>
    <row r="831" customFormat="false" ht="15" hidden="false" customHeight="true" outlineLevel="0" collapsed="false">
      <c r="C831" s="24"/>
      <c r="F831" s="22"/>
      <c r="G831" s="23"/>
      <c r="H831" s="24"/>
      <c r="J831" s="18" t="str">
        <f aca="false">IF(F831="","",F831*G831)</f>
        <v/>
      </c>
      <c r="K831" s="5" t="str">
        <f aca="false">IF(A831="","",IF(H831&lt;&gt;"",Assumptions!$D$5-H831,IF(C831="","",Assumptions!$D$5-(C831+Assumptions!$B$8))))</f>
        <v/>
      </c>
      <c r="L831" s="5" t="str">
        <f aca="false">IF(K831="","",IF(K831&lt;0,"Phase 1 (unliquidated)",IF(K831&lt;=Assumptions!$B$7,"Phase 1 (recently liquidated)",IF(K831&lt;=Assumptions!$B$6,"Protest required","Deadline passed — litigation only"))))</f>
        <v/>
      </c>
      <c r="M831" s="20" t="str">
        <f aca="false">IF(K831="","",IF(H831&lt;&gt;"",H831+Assumptions!$B$6,C831+Assumptions!$B$8+Assumptions!$B$6))</f>
        <v/>
      </c>
      <c r="N831" s="20" t="str">
        <f aca="false">IF(K831="","",IF(K831&lt;0,IF(H831&lt;&gt;"",H831+Assumptions!$B$7,C831+Assumptions!$B$8+Assumptions!$B$7),M831))</f>
        <v/>
      </c>
      <c r="O831" s="21" t="str">
        <f aca="false">IF(N831="","",N831-Assumptions!$D$5)</f>
        <v/>
      </c>
      <c r="P831" s="22"/>
      <c r="Q831" s="22"/>
      <c r="R831" s="18" t="str">
        <f aca="false">IF(Q831="","",Q831*IF(LEFT(L831,7)="Phase 1",Assumptions!$B$11,Assumptions!$B$12))</f>
        <v/>
      </c>
    </row>
    <row r="832" customFormat="false" ht="15" hidden="false" customHeight="true" outlineLevel="0" collapsed="false">
      <c r="C832" s="24"/>
      <c r="F832" s="22"/>
      <c r="G832" s="23"/>
      <c r="H832" s="24"/>
      <c r="J832" s="18" t="str">
        <f aca="false">IF(F832="","",F832*G832)</f>
        <v/>
      </c>
      <c r="K832" s="5" t="str">
        <f aca="false">IF(A832="","",IF(H832&lt;&gt;"",Assumptions!$D$5-H832,IF(C832="","",Assumptions!$D$5-(C832+Assumptions!$B$8))))</f>
        <v/>
      </c>
      <c r="L832" s="5" t="str">
        <f aca="false">IF(K832="","",IF(K832&lt;0,"Phase 1 (unliquidated)",IF(K832&lt;=Assumptions!$B$7,"Phase 1 (recently liquidated)",IF(K832&lt;=Assumptions!$B$6,"Protest required","Deadline passed — litigation only"))))</f>
        <v/>
      </c>
      <c r="M832" s="20" t="str">
        <f aca="false">IF(K832="","",IF(H832&lt;&gt;"",H832+Assumptions!$B$6,C832+Assumptions!$B$8+Assumptions!$B$6))</f>
        <v/>
      </c>
      <c r="N832" s="20" t="str">
        <f aca="false">IF(K832="","",IF(K832&lt;0,IF(H832&lt;&gt;"",H832+Assumptions!$B$7,C832+Assumptions!$B$8+Assumptions!$B$7),M832))</f>
        <v/>
      </c>
      <c r="O832" s="21" t="str">
        <f aca="false">IF(N832="","",N832-Assumptions!$D$5)</f>
        <v/>
      </c>
      <c r="P832" s="22"/>
      <c r="Q832" s="22"/>
      <c r="R832" s="18" t="str">
        <f aca="false">IF(Q832="","",Q832*IF(LEFT(L832,7)="Phase 1",Assumptions!$B$11,Assumptions!$B$12))</f>
        <v/>
      </c>
    </row>
    <row r="833" customFormat="false" ht="15" hidden="false" customHeight="true" outlineLevel="0" collapsed="false">
      <c r="C833" s="24"/>
      <c r="F833" s="22"/>
      <c r="G833" s="23"/>
      <c r="H833" s="24"/>
      <c r="J833" s="18" t="str">
        <f aca="false">IF(F833="","",F833*G833)</f>
        <v/>
      </c>
      <c r="K833" s="5" t="str">
        <f aca="false">IF(A833="","",IF(H833&lt;&gt;"",Assumptions!$D$5-H833,IF(C833="","",Assumptions!$D$5-(C833+Assumptions!$B$8))))</f>
        <v/>
      </c>
      <c r="L833" s="5" t="str">
        <f aca="false">IF(K833="","",IF(K833&lt;0,"Phase 1 (unliquidated)",IF(K833&lt;=Assumptions!$B$7,"Phase 1 (recently liquidated)",IF(K833&lt;=Assumptions!$B$6,"Protest required","Deadline passed — litigation only"))))</f>
        <v/>
      </c>
      <c r="M833" s="20" t="str">
        <f aca="false">IF(K833="","",IF(H833&lt;&gt;"",H833+Assumptions!$B$6,C833+Assumptions!$B$8+Assumptions!$B$6))</f>
        <v/>
      </c>
      <c r="N833" s="20" t="str">
        <f aca="false">IF(K833="","",IF(K833&lt;0,IF(H833&lt;&gt;"",H833+Assumptions!$B$7,C833+Assumptions!$B$8+Assumptions!$B$7),M833))</f>
        <v/>
      </c>
      <c r="O833" s="21" t="str">
        <f aca="false">IF(N833="","",N833-Assumptions!$D$5)</f>
        <v/>
      </c>
      <c r="P833" s="22"/>
      <c r="Q833" s="22"/>
      <c r="R833" s="18" t="str">
        <f aca="false">IF(Q833="","",Q833*IF(LEFT(L833,7)="Phase 1",Assumptions!$B$11,Assumptions!$B$12))</f>
        <v/>
      </c>
    </row>
    <row r="834" customFormat="false" ht="15" hidden="false" customHeight="true" outlineLevel="0" collapsed="false">
      <c r="C834" s="24"/>
      <c r="F834" s="22"/>
      <c r="G834" s="23"/>
      <c r="H834" s="24"/>
      <c r="J834" s="18" t="str">
        <f aca="false">IF(F834="","",F834*G834)</f>
        <v/>
      </c>
      <c r="K834" s="5" t="str">
        <f aca="false">IF(A834="","",IF(H834&lt;&gt;"",Assumptions!$D$5-H834,IF(C834="","",Assumptions!$D$5-(C834+Assumptions!$B$8))))</f>
        <v/>
      </c>
      <c r="L834" s="5" t="str">
        <f aca="false">IF(K834="","",IF(K834&lt;0,"Phase 1 (unliquidated)",IF(K834&lt;=Assumptions!$B$7,"Phase 1 (recently liquidated)",IF(K834&lt;=Assumptions!$B$6,"Protest required","Deadline passed — litigation only"))))</f>
        <v/>
      </c>
      <c r="M834" s="20" t="str">
        <f aca="false">IF(K834="","",IF(H834&lt;&gt;"",H834+Assumptions!$B$6,C834+Assumptions!$B$8+Assumptions!$B$6))</f>
        <v/>
      </c>
      <c r="N834" s="20" t="str">
        <f aca="false">IF(K834="","",IF(K834&lt;0,IF(H834&lt;&gt;"",H834+Assumptions!$B$7,C834+Assumptions!$B$8+Assumptions!$B$7),M834))</f>
        <v/>
      </c>
      <c r="O834" s="21" t="str">
        <f aca="false">IF(N834="","",N834-Assumptions!$D$5)</f>
        <v/>
      </c>
      <c r="P834" s="22"/>
      <c r="Q834" s="22"/>
      <c r="R834" s="18" t="str">
        <f aca="false">IF(Q834="","",Q834*IF(LEFT(L834,7)="Phase 1",Assumptions!$B$11,Assumptions!$B$12))</f>
        <v/>
      </c>
    </row>
    <row r="835" customFormat="false" ht="15" hidden="false" customHeight="true" outlineLevel="0" collapsed="false">
      <c r="C835" s="24"/>
      <c r="F835" s="22"/>
      <c r="G835" s="23"/>
      <c r="H835" s="24"/>
      <c r="J835" s="18" t="str">
        <f aca="false">IF(F835="","",F835*G835)</f>
        <v/>
      </c>
      <c r="K835" s="5" t="str">
        <f aca="false">IF(A835="","",IF(H835&lt;&gt;"",Assumptions!$D$5-H835,IF(C835="","",Assumptions!$D$5-(C835+Assumptions!$B$8))))</f>
        <v/>
      </c>
      <c r="L835" s="5" t="str">
        <f aca="false">IF(K835="","",IF(K835&lt;0,"Phase 1 (unliquidated)",IF(K835&lt;=Assumptions!$B$7,"Phase 1 (recently liquidated)",IF(K835&lt;=Assumptions!$B$6,"Protest required","Deadline passed — litigation only"))))</f>
        <v/>
      </c>
      <c r="M835" s="20" t="str">
        <f aca="false">IF(K835="","",IF(H835&lt;&gt;"",H835+Assumptions!$B$6,C835+Assumptions!$B$8+Assumptions!$B$6))</f>
        <v/>
      </c>
      <c r="N835" s="20" t="str">
        <f aca="false">IF(K835="","",IF(K835&lt;0,IF(H835&lt;&gt;"",H835+Assumptions!$B$7,C835+Assumptions!$B$8+Assumptions!$B$7),M835))</f>
        <v/>
      </c>
      <c r="O835" s="21" t="str">
        <f aca="false">IF(N835="","",N835-Assumptions!$D$5)</f>
        <v/>
      </c>
      <c r="P835" s="22"/>
      <c r="Q835" s="22"/>
      <c r="R835" s="18" t="str">
        <f aca="false">IF(Q835="","",Q835*IF(LEFT(L835,7)="Phase 1",Assumptions!$B$11,Assumptions!$B$12))</f>
        <v/>
      </c>
    </row>
    <row r="836" customFormat="false" ht="15" hidden="false" customHeight="true" outlineLevel="0" collapsed="false">
      <c r="C836" s="24"/>
      <c r="F836" s="22"/>
      <c r="G836" s="23"/>
      <c r="H836" s="24"/>
      <c r="J836" s="18" t="str">
        <f aca="false">IF(F836="","",F836*G836)</f>
        <v/>
      </c>
      <c r="K836" s="5" t="str">
        <f aca="false">IF(A836="","",IF(H836&lt;&gt;"",Assumptions!$D$5-H836,IF(C836="","",Assumptions!$D$5-(C836+Assumptions!$B$8))))</f>
        <v/>
      </c>
      <c r="L836" s="5" t="str">
        <f aca="false">IF(K836="","",IF(K836&lt;0,"Phase 1 (unliquidated)",IF(K836&lt;=Assumptions!$B$7,"Phase 1 (recently liquidated)",IF(K836&lt;=Assumptions!$B$6,"Protest required","Deadline passed — litigation only"))))</f>
        <v/>
      </c>
      <c r="M836" s="20" t="str">
        <f aca="false">IF(K836="","",IF(H836&lt;&gt;"",H836+Assumptions!$B$6,C836+Assumptions!$B$8+Assumptions!$B$6))</f>
        <v/>
      </c>
      <c r="N836" s="20" t="str">
        <f aca="false">IF(K836="","",IF(K836&lt;0,IF(H836&lt;&gt;"",H836+Assumptions!$B$7,C836+Assumptions!$B$8+Assumptions!$B$7),M836))</f>
        <v/>
      </c>
      <c r="O836" s="21" t="str">
        <f aca="false">IF(N836="","",N836-Assumptions!$D$5)</f>
        <v/>
      </c>
      <c r="P836" s="22"/>
      <c r="Q836" s="22"/>
      <c r="R836" s="18" t="str">
        <f aca="false">IF(Q836="","",Q836*IF(LEFT(L836,7)="Phase 1",Assumptions!$B$11,Assumptions!$B$12))</f>
        <v/>
      </c>
    </row>
    <row r="837" customFormat="false" ht="15" hidden="false" customHeight="true" outlineLevel="0" collapsed="false">
      <c r="C837" s="24"/>
      <c r="F837" s="22"/>
      <c r="G837" s="23"/>
      <c r="H837" s="24"/>
      <c r="J837" s="18" t="str">
        <f aca="false">IF(F837="","",F837*G837)</f>
        <v/>
      </c>
      <c r="K837" s="5" t="str">
        <f aca="false">IF(A837="","",IF(H837&lt;&gt;"",Assumptions!$D$5-H837,IF(C837="","",Assumptions!$D$5-(C837+Assumptions!$B$8))))</f>
        <v/>
      </c>
      <c r="L837" s="5" t="str">
        <f aca="false">IF(K837="","",IF(K837&lt;0,"Phase 1 (unliquidated)",IF(K837&lt;=Assumptions!$B$7,"Phase 1 (recently liquidated)",IF(K837&lt;=Assumptions!$B$6,"Protest required","Deadline passed — litigation only"))))</f>
        <v/>
      </c>
      <c r="M837" s="20" t="str">
        <f aca="false">IF(K837="","",IF(H837&lt;&gt;"",H837+Assumptions!$B$6,C837+Assumptions!$B$8+Assumptions!$B$6))</f>
        <v/>
      </c>
      <c r="N837" s="20" t="str">
        <f aca="false">IF(K837="","",IF(K837&lt;0,IF(H837&lt;&gt;"",H837+Assumptions!$B$7,C837+Assumptions!$B$8+Assumptions!$B$7),M837))</f>
        <v/>
      </c>
      <c r="O837" s="21" t="str">
        <f aca="false">IF(N837="","",N837-Assumptions!$D$5)</f>
        <v/>
      </c>
      <c r="P837" s="22"/>
      <c r="Q837" s="22"/>
      <c r="R837" s="18" t="str">
        <f aca="false">IF(Q837="","",Q837*IF(LEFT(L837,7)="Phase 1",Assumptions!$B$11,Assumptions!$B$12))</f>
        <v/>
      </c>
    </row>
    <row r="838" customFormat="false" ht="15" hidden="false" customHeight="true" outlineLevel="0" collapsed="false">
      <c r="C838" s="24"/>
      <c r="F838" s="22"/>
      <c r="G838" s="23"/>
      <c r="H838" s="24"/>
      <c r="J838" s="18" t="str">
        <f aca="false">IF(F838="","",F838*G838)</f>
        <v/>
      </c>
      <c r="K838" s="5" t="str">
        <f aca="false">IF(A838="","",IF(H838&lt;&gt;"",Assumptions!$D$5-H838,IF(C838="","",Assumptions!$D$5-(C838+Assumptions!$B$8))))</f>
        <v/>
      </c>
      <c r="L838" s="5" t="str">
        <f aca="false">IF(K838="","",IF(K838&lt;0,"Phase 1 (unliquidated)",IF(K838&lt;=Assumptions!$B$7,"Phase 1 (recently liquidated)",IF(K838&lt;=Assumptions!$B$6,"Protest required","Deadline passed — litigation only"))))</f>
        <v/>
      </c>
      <c r="M838" s="20" t="str">
        <f aca="false">IF(K838="","",IF(H838&lt;&gt;"",H838+Assumptions!$B$6,C838+Assumptions!$B$8+Assumptions!$B$6))</f>
        <v/>
      </c>
      <c r="N838" s="20" t="str">
        <f aca="false">IF(K838="","",IF(K838&lt;0,IF(H838&lt;&gt;"",H838+Assumptions!$B$7,C838+Assumptions!$B$8+Assumptions!$B$7),M838))</f>
        <v/>
      </c>
      <c r="O838" s="21" t="str">
        <f aca="false">IF(N838="","",N838-Assumptions!$D$5)</f>
        <v/>
      </c>
      <c r="P838" s="22"/>
      <c r="Q838" s="22"/>
      <c r="R838" s="18" t="str">
        <f aca="false">IF(Q838="","",Q838*IF(LEFT(L838,7)="Phase 1",Assumptions!$B$11,Assumptions!$B$12))</f>
        <v/>
      </c>
    </row>
    <row r="839" customFormat="false" ht="15" hidden="false" customHeight="true" outlineLevel="0" collapsed="false">
      <c r="C839" s="24"/>
      <c r="F839" s="22"/>
      <c r="G839" s="23"/>
      <c r="H839" s="24"/>
      <c r="J839" s="18" t="str">
        <f aca="false">IF(F839="","",F839*G839)</f>
        <v/>
      </c>
      <c r="K839" s="5" t="str">
        <f aca="false">IF(A839="","",IF(H839&lt;&gt;"",Assumptions!$D$5-H839,IF(C839="","",Assumptions!$D$5-(C839+Assumptions!$B$8))))</f>
        <v/>
      </c>
      <c r="L839" s="5" t="str">
        <f aca="false">IF(K839="","",IF(K839&lt;0,"Phase 1 (unliquidated)",IF(K839&lt;=Assumptions!$B$7,"Phase 1 (recently liquidated)",IF(K839&lt;=Assumptions!$B$6,"Protest required","Deadline passed — litigation only"))))</f>
        <v/>
      </c>
      <c r="M839" s="20" t="str">
        <f aca="false">IF(K839="","",IF(H839&lt;&gt;"",H839+Assumptions!$B$6,C839+Assumptions!$B$8+Assumptions!$B$6))</f>
        <v/>
      </c>
      <c r="N839" s="20" t="str">
        <f aca="false">IF(K839="","",IF(K839&lt;0,IF(H839&lt;&gt;"",H839+Assumptions!$B$7,C839+Assumptions!$B$8+Assumptions!$B$7),M839))</f>
        <v/>
      </c>
      <c r="O839" s="21" t="str">
        <f aca="false">IF(N839="","",N839-Assumptions!$D$5)</f>
        <v/>
      </c>
      <c r="P839" s="22"/>
      <c r="Q839" s="22"/>
      <c r="R839" s="18" t="str">
        <f aca="false">IF(Q839="","",Q839*IF(LEFT(L839,7)="Phase 1",Assumptions!$B$11,Assumptions!$B$12))</f>
        <v/>
      </c>
    </row>
    <row r="840" customFormat="false" ht="15" hidden="false" customHeight="true" outlineLevel="0" collapsed="false">
      <c r="C840" s="24"/>
      <c r="F840" s="22"/>
      <c r="G840" s="23"/>
      <c r="H840" s="24"/>
      <c r="J840" s="18" t="str">
        <f aca="false">IF(F840="","",F840*G840)</f>
        <v/>
      </c>
      <c r="K840" s="5" t="str">
        <f aca="false">IF(A840="","",IF(H840&lt;&gt;"",Assumptions!$D$5-H840,IF(C840="","",Assumptions!$D$5-(C840+Assumptions!$B$8))))</f>
        <v/>
      </c>
      <c r="L840" s="5" t="str">
        <f aca="false">IF(K840="","",IF(K840&lt;0,"Phase 1 (unliquidated)",IF(K840&lt;=Assumptions!$B$7,"Phase 1 (recently liquidated)",IF(K840&lt;=Assumptions!$B$6,"Protest required","Deadline passed — litigation only"))))</f>
        <v/>
      </c>
      <c r="M840" s="20" t="str">
        <f aca="false">IF(K840="","",IF(H840&lt;&gt;"",H840+Assumptions!$B$6,C840+Assumptions!$B$8+Assumptions!$B$6))</f>
        <v/>
      </c>
      <c r="N840" s="20" t="str">
        <f aca="false">IF(K840="","",IF(K840&lt;0,IF(H840&lt;&gt;"",H840+Assumptions!$B$7,C840+Assumptions!$B$8+Assumptions!$B$7),M840))</f>
        <v/>
      </c>
      <c r="O840" s="21" t="str">
        <f aca="false">IF(N840="","",N840-Assumptions!$D$5)</f>
        <v/>
      </c>
      <c r="P840" s="22"/>
      <c r="Q840" s="22"/>
      <c r="R840" s="18" t="str">
        <f aca="false">IF(Q840="","",Q840*IF(LEFT(L840,7)="Phase 1",Assumptions!$B$11,Assumptions!$B$12))</f>
        <v/>
      </c>
    </row>
    <row r="841" customFormat="false" ht="15" hidden="false" customHeight="true" outlineLevel="0" collapsed="false">
      <c r="C841" s="24"/>
      <c r="F841" s="22"/>
      <c r="G841" s="23"/>
      <c r="H841" s="24"/>
      <c r="J841" s="18" t="str">
        <f aca="false">IF(F841="","",F841*G841)</f>
        <v/>
      </c>
      <c r="K841" s="5" t="str">
        <f aca="false">IF(A841="","",IF(H841&lt;&gt;"",Assumptions!$D$5-H841,IF(C841="","",Assumptions!$D$5-(C841+Assumptions!$B$8))))</f>
        <v/>
      </c>
      <c r="L841" s="5" t="str">
        <f aca="false">IF(K841="","",IF(K841&lt;0,"Phase 1 (unliquidated)",IF(K841&lt;=Assumptions!$B$7,"Phase 1 (recently liquidated)",IF(K841&lt;=Assumptions!$B$6,"Protest required","Deadline passed — litigation only"))))</f>
        <v/>
      </c>
      <c r="M841" s="20" t="str">
        <f aca="false">IF(K841="","",IF(H841&lt;&gt;"",H841+Assumptions!$B$6,C841+Assumptions!$B$8+Assumptions!$B$6))</f>
        <v/>
      </c>
      <c r="N841" s="20" t="str">
        <f aca="false">IF(K841="","",IF(K841&lt;0,IF(H841&lt;&gt;"",H841+Assumptions!$B$7,C841+Assumptions!$B$8+Assumptions!$B$7),M841))</f>
        <v/>
      </c>
      <c r="O841" s="21" t="str">
        <f aca="false">IF(N841="","",N841-Assumptions!$D$5)</f>
        <v/>
      </c>
      <c r="P841" s="22"/>
      <c r="Q841" s="22"/>
      <c r="R841" s="18" t="str">
        <f aca="false">IF(Q841="","",Q841*IF(LEFT(L841,7)="Phase 1",Assumptions!$B$11,Assumptions!$B$12))</f>
        <v/>
      </c>
    </row>
    <row r="842" customFormat="false" ht="15" hidden="false" customHeight="true" outlineLevel="0" collapsed="false">
      <c r="C842" s="24"/>
      <c r="F842" s="22"/>
      <c r="G842" s="23"/>
      <c r="H842" s="24"/>
      <c r="J842" s="18" t="str">
        <f aca="false">IF(F842="","",F842*G842)</f>
        <v/>
      </c>
      <c r="K842" s="5" t="str">
        <f aca="false">IF(A842="","",IF(H842&lt;&gt;"",Assumptions!$D$5-H842,IF(C842="","",Assumptions!$D$5-(C842+Assumptions!$B$8))))</f>
        <v/>
      </c>
      <c r="L842" s="5" t="str">
        <f aca="false">IF(K842="","",IF(K842&lt;0,"Phase 1 (unliquidated)",IF(K842&lt;=Assumptions!$B$7,"Phase 1 (recently liquidated)",IF(K842&lt;=Assumptions!$B$6,"Protest required","Deadline passed — litigation only"))))</f>
        <v/>
      </c>
      <c r="M842" s="20" t="str">
        <f aca="false">IF(K842="","",IF(H842&lt;&gt;"",H842+Assumptions!$B$6,C842+Assumptions!$B$8+Assumptions!$B$6))</f>
        <v/>
      </c>
      <c r="N842" s="20" t="str">
        <f aca="false">IF(K842="","",IF(K842&lt;0,IF(H842&lt;&gt;"",H842+Assumptions!$B$7,C842+Assumptions!$B$8+Assumptions!$B$7),M842))</f>
        <v/>
      </c>
      <c r="O842" s="21" t="str">
        <f aca="false">IF(N842="","",N842-Assumptions!$D$5)</f>
        <v/>
      </c>
      <c r="P842" s="22"/>
      <c r="Q842" s="22"/>
      <c r="R842" s="18" t="str">
        <f aca="false">IF(Q842="","",Q842*IF(LEFT(L842,7)="Phase 1",Assumptions!$B$11,Assumptions!$B$12))</f>
        <v/>
      </c>
    </row>
    <row r="843" customFormat="false" ht="15" hidden="false" customHeight="true" outlineLevel="0" collapsed="false">
      <c r="C843" s="24"/>
      <c r="F843" s="22"/>
      <c r="G843" s="23"/>
      <c r="H843" s="24"/>
      <c r="J843" s="18" t="str">
        <f aca="false">IF(F843="","",F843*G843)</f>
        <v/>
      </c>
      <c r="K843" s="5" t="str">
        <f aca="false">IF(A843="","",IF(H843&lt;&gt;"",Assumptions!$D$5-H843,IF(C843="","",Assumptions!$D$5-(C843+Assumptions!$B$8))))</f>
        <v/>
      </c>
      <c r="L843" s="5" t="str">
        <f aca="false">IF(K843="","",IF(K843&lt;0,"Phase 1 (unliquidated)",IF(K843&lt;=Assumptions!$B$7,"Phase 1 (recently liquidated)",IF(K843&lt;=Assumptions!$B$6,"Protest required","Deadline passed — litigation only"))))</f>
        <v/>
      </c>
      <c r="M843" s="20" t="str">
        <f aca="false">IF(K843="","",IF(H843&lt;&gt;"",H843+Assumptions!$B$6,C843+Assumptions!$B$8+Assumptions!$B$6))</f>
        <v/>
      </c>
      <c r="N843" s="20" t="str">
        <f aca="false">IF(K843="","",IF(K843&lt;0,IF(H843&lt;&gt;"",H843+Assumptions!$B$7,C843+Assumptions!$B$8+Assumptions!$B$7),M843))</f>
        <v/>
      </c>
      <c r="O843" s="21" t="str">
        <f aca="false">IF(N843="","",N843-Assumptions!$D$5)</f>
        <v/>
      </c>
      <c r="P843" s="22"/>
      <c r="Q843" s="22"/>
      <c r="R843" s="18" t="str">
        <f aca="false">IF(Q843="","",Q843*IF(LEFT(L843,7)="Phase 1",Assumptions!$B$11,Assumptions!$B$12))</f>
        <v/>
      </c>
    </row>
    <row r="844" customFormat="false" ht="15" hidden="false" customHeight="true" outlineLevel="0" collapsed="false">
      <c r="C844" s="24"/>
      <c r="F844" s="22"/>
      <c r="G844" s="23"/>
      <c r="H844" s="24"/>
      <c r="J844" s="18" t="str">
        <f aca="false">IF(F844="","",F844*G844)</f>
        <v/>
      </c>
      <c r="K844" s="5" t="str">
        <f aca="false">IF(A844="","",IF(H844&lt;&gt;"",Assumptions!$D$5-H844,IF(C844="","",Assumptions!$D$5-(C844+Assumptions!$B$8))))</f>
        <v/>
      </c>
      <c r="L844" s="5" t="str">
        <f aca="false">IF(K844="","",IF(K844&lt;0,"Phase 1 (unliquidated)",IF(K844&lt;=Assumptions!$B$7,"Phase 1 (recently liquidated)",IF(K844&lt;=Assumptions!$B$6,"Protest required","Deadline passed — litigation only"))))</f>
        <v/>
      </c>
      <c r="M844" s="20" t="str">
        <f aca="false">IF(K844="","",IF(H844&lt;&gt;"",H844+Assumptions!$B$6,C844+Assumptions!$B$8+Assumptions!$B$6))</f>
        <v/>
      </c>
      <c r="N844" s="20" t="str">
        <f aca="false">IF(K844="","",IF(K844&lt;0,IF(H844&lt;&gt;"",H844+Assumptions!$B$7,C844+Assumptions!$B$8+Assumptions!$B$7),M844))</f>
        <v/>
      </c>
      <c r="O844" s="21" t="str">
        <f aca="false">IF(N844="","",N844-Assumptions!$D$5)</f>
        <v/>
      </c>
      <c r="P844" s="22"/>
      <c r="Q844" s="22"/>
      <c r="R844" s="18" t="str">
        <f aca="false">IF(Q844="","",Q844*IF(LEFT(L844,7)="Phase 1",Assumptions!$B$11,Assumptions!$B$12))</f>
        <v/>
      </c>
    </row>
    <row r="845" customFormat="false" ht="15" hidden="false" customHeight="true" outlineLevel="0" collapsed="false">
      <c r="C845" s="24"/>
      <c r="F845" s="22"/>
      <c r="G845" s="23"/>
      <c r="H845" s="24"/>
      <c r="J845" s="18" t="str">
        <f aca="false">IF(F845="","",F845*G845)</f>
        <v/>
      </c>
      <c r="K845" s="5" t="str">
        <f aca="false">IF(A845="","",IF(H845&lt;&gt;"",Assumptions!$D$5-H845,IF(C845="","",Assumptions!$D$5-(C845+Assumptions!$B$8))))</f>
        <v/>
      </c>
      <c r="L845" s="5" t="str">
        <f aca="false">IF(K845="","",IF(K845&lt;0,"Phase 1 (unliquidated)",IF(K845&lt;=Assumptions!$B$7,"Phase 1 (recently liquidated)",IF(K845&lt;=Assumptions!$B$6,"Protest required","Deadline passed — litigation only"))))</f>
        <v/>
      </c>
      <c r="M845" s="20" t="str">
        <f aca="false">IF(K845="","",IF(H845&lt;&gt;"",H845+Assumptions!$B$6,C845+Assumptions!$B$8+Assumptions!$B$6))</f>
        <v/>
      </c>
      <c r="N845" s="20" t="str">
        <f aca="false">IF(K845="","",IF(K845&lt;0,IF(H845&lt;&gt;"",H845+Assumptions!$B$7,C845+Assumptions!$B$8+Assumptions!$B$7),M845))</f>
        <v/>
      </c>
      <c r="O845" s="21" t="str">
        <f aca="false">IF(N845="","",N845-Assumptions!$D$5)</f>
        <v/>
      </c>
      <c r="P845" s="22"/>
      <c r="Q845" s="22"/>
      <c r="R845" s="18" t="str">
        <f aca="false">IF(Q845="","",Q845*IF(LEFT(L845,7)="Phase 1",Assumptions!$B$11,Assumptions!$B$12))</f>
        <v/>
      </c>
    </row>
    <row r="846" customFormat="false" ht="15" hidden="false" customHeight="true" outlineLevel="0" collapsed="false">
      <c r="C846" s="24"/>
      <c r="F846" s="22"/>
      <c r="G846" s="23"/>
      <c r="H846" s="24"/>
      <c r="J846" s="18" t="str">
        <f aca="false">IF(F846="","",F846*G846)</f>
        <v/>
      </c>
      <c r="K846" s="5" t="str">
        <f aca="false">IF(A846="","",IF(H846&lt;&gt;"",Assumptions!$D$5-H846,IF(C846="","",Assumptions!$D$5-(C846+Assumptions!$B$8))))</f>
        <v/>
      </c>
      <c r="L846" s="5" t="str">
        <f aca="false">IF(K846="","",IF(K846&lt;0,"Phase 1 (unliquidated)",IF(K846&lt;=Assumptions!$B$7,"Phase 1 (recently liquidated)",IF(K846&lt;=Assumptions!$B$6,"Protest required","Deadline passed — litigation only"))))</f>
        <v/>
      </c>
      <c r="M846" s="20" t="str">
        <f aca="false">IF(K846="","",IF(H846&lt;&gt;"",H846+Assumptions!$B$6,C846+Assumptions!$B$8+Assumptions!$B$6))</f>
        <v/>
      </c>
      <c r="N846" s="20" t="str">
        <f aca="false">IF(K846="","",IF(K846&lt;0,IF(H846&lt;&gt;"",H846+Assumptions!$B$7,C846+Assumptions!$B$8+Assumptions!$B$7),M846))</f>
        <v/>
      </c>
      <c r="O846" s="21" t="str">
        <f aca="false">IF(N846="","",N846-Assumptions!$D$5)</f>
        <v/>
      </c>
      <c r="P846" s="22"/>
      <c r="Q846" s="22"/>
      <c r="R846" s="18" t="str">
        <f aca="false">IF(Q846="","",Q846*IF(LEFT(L846,7)="Phase 1",Assumptions!$B$11,Assumptions!$B$12))</f>
        <v/>
      </c>
    </row>
    <row r="847" customFormat="false" ht="15" hidden="false" customHeight="true" outlineLevel="0" collapsed="false">
      <c r="C847" s="24"/>
      <c r="F847" s="22"/>
      <c r="G847" s="23"/>
      <c r="H847" s="24"/>
      <c r="J847" s="18" t="str">
        <f aca="false">IF(F847="","",F847*G847)</f>
        <v/>
      </c>
      <c r="K847" s="5" t="str">
        <f aca="false">IF(A847="","",IF(H847&lt;&gt;"",Assumptions!$D$5-H847,IF(C847="","",Assumptions!$D$5-(C847+Assumptions!$B$8))))</f>
        <v/>
      </c>
      <c r="L847" s="5" t="str">
        <f aca="false">IF(K847="","",IF(K847&lt;0,"Phase 1 (unliquidated)",IF(K847&lt;=Assumptions!$B$7,"Phase 1 (recently liquidated)",IF(K847&lt;=Assumptions!$B$6,"Protest required","Deadline passed — litigation only"))))</f>
        <v/>
      </c>
      <c r="M847" s="20" t="str">
        <f aca="false">IF(K847="","",IF(H847&lt;&gt;"",H847+Assumptions!$B$6,C847+Assumptions!$B$8+Assumptions!$B$6))</f>
        <v/>
      </c>
      <c r="N847" s="20" t="str">
        <f aca="false">IF(K847="","",IF(K847&lt;0,IF(H847&lt;&gt;"",H847+Assumptions!$B$7,C847+Assumptions!$B$8+Assumptions!$B$7),M847))</f>
        <v/>
      </c>
      <c r="O847" s="21" t="str">
        <f aca="false">IF(N847="","",N847-Assumptions!$D$5)</f>
        <v/>
      </c>
      <c r="P847" s="22"/>
      <c r="Q847" s="22"/>
      <c r="R847" s="18" t="str">
        <f aca="false">IF(Q847="","",Q847*IF(LEFT(L847,7)="Phase 1",Assumptions!$B$11,Assumptions!$B$12))</f>
        <v/>
      </c>
    </row>
    <row r="848" customFormat="false" ht="15" hidden="false" customHeight="true" outlineLevel="0" collapsed="false">
      <c r="C848" s="24"/>
      <c r="F848" s="22"/>
      <c r="G848" s="23"/>
      <c r="H848" s="24"/>
      <c r="J848" s="18" t="str">
        <f aca="false">IF(F848="","",F848*G848)</f>
        <v/>
      </c>
      <c r="K848" s="5" t="str">
        <f aca="false">IF(A848="","",IF(H848&lt;&gt;"",Assumptions!$D$5-H848,IF(C848="","",Assumptions!$D$5-(C848+Assumptions!$B$8))))</f>
        <v/>
      </c>
      <c r="L848" s="5" t="str">
        <f aca="false">IF(K848="","",IF(K848&lt;0,"Phase 1 (unliquidated)",IF(K848&lt;=Assumptions!$B$7,"Phase 1 (recently liquidated)",IF(K848&lt;=Assumptions!$B$6,"Protest required","Deadline passed — litigation only"))))</f>
        <v/>
      </c>
      <c r="M848" s="20" t="str">
        <f aca="false">IF(K848="","",IF(H848&lt;&gt;"",H848+Assumptions!$B$6,C848+Assumptions!$B$8+Assumptions!$B$6))</f>
        <v/>
      </c>
      <c r="N848" s="20" t="str">
        <f aca="false">IF(K848="","",IF(K848&lt;0,IF(H848&lt;&gt;"",H848+Assumptions!$B$7,C848+Assumptions!$B$8+Assumptions!$B$7),M848))</f>
        <v/>
      </c>
      <c r="O848" s="21" t="str">
        <f aca="false">IF(N848="","",N848-Assumptions!$D$5)</f>
        <v/>
      </c>
      <c r="P848" s="22"/>
      <c r="Q848" s="22"/>
      <c r="R848" s="18" t="str">
        <f aca="false">IF(Q848="","",Q848*IF(LEFT(L848,7)="Phase 1",Assumptions!$B$11,Assumptions!$B$12))</f>
        <v/>
      </c>
    </row>
    <row r="849" customFormat="false" ht="15" hidden="false" customHeight="true" outlineLevel="0" collapsed="false">
      <c r="C849" s="24"/>
      <c r="F849" s="22"/>
      <c r="G849" s="23"/>
      <c r="H849" s="24"/>
      <c r="J849" s="18" t="str">
        <f aca="false">IF(F849="","",F849*G849)</f>
        <v/>
      </c>
      <c r="K849" s="5" t="str">
        <f aca="false">IF(A849="","",IF(H849&lt;&gt;"",Assumptions!$D$5-H849,IF(C849="","",Assumptions!$D$5-(C849+Assumptions!$B$8))))</f>
        <v/>
      </c>
      <c r="L849" s="5" t="str">
        <f aca="false">IF(K849="","",IF(K849&lt;0,"Phase 1 (unliquidated)",IF(K849&lt;=Assumptions!$B$7,"Phase 1 (recently liquidated)",IF(K849&lt;=Assumptions!$B$6,"Protest required","Deadline passed — litigation only"))))</f>
        <v/>
      </c>
      <c r="M849" s="20" t="str">
        <f aca="false">IF(K849="","",IF(H849&lt;&gt;"",H849+Assumptions!$B$6,C849+Assumptions!$B$8+Assumptions!$B$6))</f>
        <v/>
      </c>
      <c r="N849" s="20" t="str">
        <f aca="false">IF(K849="","",IF(K849&lt;0,IF(H849&lt;&gt;"",H849+Assumptions!$B$7,C849+Assumptions!$B$8+Assumptions!$B$7),M849))</f>
        <v/>
      </c>
      <c r="O849" s="21" t="str">
        <f aca="false">IF(N849="","",N849-Assumptions!$D$5)</f>
        <v/>
      </c>
      <c r="P849" s="22"/>
      <c r="Q849" s="22"/>
      <c r="R849" s="18" t="str">
        <f aca="false">IF(Q849="","",Q849*IF(LEFT(L849,7)="Phase 1",Assumptions!$B$11,Assumptions!$B$12))</f>
        <v/>
      </c>
    </row>
    <row r="850" customFormat="false" ht="15" hidden="false" customHeight="true" outlineLevel="0" collapsed="false">
      <c r="C850" s="24"/>
      <c r="F850" s="22"/>
      <c r="G850" s="23"/>
      <c r="H850" s="24"/>
      <c r="J850" s="18" t="str">
        <f aca="false">IF(F850="","",F850*G850)</f>
        <v/>
      </c>
      <c r="K850" s="5" t="str">
        <f aca="false">IF(A850="","",IF(H850&lt;&gt;"",Assumptions!$D$5-H850,IF(C850="","",Assumptions!$D$5-(C850+Assumptions!$B$8))))</f>
        <v/>
      </c>
      <c r="L850" s="5" t="str">
        <f aca="false">IF(K850="","",IF(K850&lt;0,"Phase 1 (unliquidated)",IF(K850&lt;=Assumptions!$B$7,"Phase 1 (recently liquidated)",IF(K850&lt;=Assumptions!$B$6,"Protest required","Deadline passed — litigation only"))))</f>
        <v/>
      </c>
      <c r="M850" s="20" t="str">
        <f aca="false">IF(K850="","",IF(H850&lt;&gt;"",H850+Assumptions!$B$6,C850+Assumptions!$B$8+Assumptions!$B$6))</f>
        <v/>
      </c>
      <c r="N850" s="20" t="str">
        <f aca="false">IF(K850="","",IF(K850&lt;0,IF(H850&lt;&gt;"",H850+Assumptions!$B$7,C850+Assumptions!$B$8+Assumptions!$B$7),M850))</f>
        <v/>
      </c>
      <c r="O850" s="21" t="str">
        <f aca="false">IF(N850="","",N850-Assumptions!$D$5)</f>
        <v/>
      </c>
      <c r="P850" s="22"/>
      <c r="Q850" s="22"/>
      <c r="R850" s="18" t="str">
        <f aca="false">IF(Q850="","",Q850*IF(LEFT(L850,7)="Phase 1",Assumptions!$B$11,Assumptions!$B$12))</f>
        <v/>
      </c>
    </row>
    <row r="851" customFormat="false" ht="15" hidden="false" customHeight="true" outlineLevel="0" collapsed="false">
      <c r="C851" s="24"/>
      <c r="F851" s="22"/>
      <c r="G851" s="23"/>
      <c r="H851" s="24"/>
      <c r="J851" s="18" t="str">
        <f aca="false">IF(F851="","",F851*G851)</f>
        <v/>
      </c>
      <c r="K851" s="5" t="str">
        <f aca="false">IF(A851="","",IF(H851&lt;&gt;"",Assumptions!$D$5-H851,IF(C851="","",Assumptions!$D$5-(C851+Assumptions!$B$8))))</f>
        <v/>
      </c>
      <c r="L851" s="5" t="str">
        <f aca="false">IF(K851="","",IF(K851&lt;0,"Phase 1 (unliquidated)",IF(K851&lt;=Assumptions!$B$7,"Phase 1 (recently liquidated)",IF(K851&lt;=Assumptions!$B$6,"Protest required","Deadline passed — litigation only"))))</f>
        <v/>
      </c>
      <c r="M851" s="20" t="str">
        <f aca="false">IF(K851="","",IF(H851&lt;&gt;"",H851+Assumptions!$B$6,C851+Assumptions!$B$8+Assumptions!$B$6))</f>
        <v/>
      </c>
      <c r="N851" s="20" t="str">
        <f aca="false">IF(K851="","",IF(K851&lt;0,IF(H851&lt;&gt;"",H851+Assumptions!$B$7,C851+Assumptions!$B$8+Assumptions!$B$7),M851))</f>
        <v/>
      </c>
      <c r="O851" s="21" t="str">
        <f aca="false">IF(N851="","",N851-Assumptions!$D$5)</f>
        <v/>
      </c>
      <c r="P851" s="22"/>
      <c r="Q851" s="22"/>
      <c r="R851" s="18" t="str">
        <f aca="false">IF(Q851="","",Q851*IF(LEFT(L851,7)="Phase 1",Assumptions!$B$11,Assumptions!$B$12))</f>
        <v/>
      </c>
    </row>
    <row r="852" customFormat="false" ht="15" hidden="false" customHeight="true" outlineLevel="0" collapsed="false">
      <c r="C852" s="24"/>
      <c r="F852" s="22"/>
      <c r="G852" s="23"/>
      <c r="H852" s="24"/>
      <c r="J852" s="18" t="str">
        <f aca="false">IF(F852="","",F852*G852)</f>
        <v/>
      </c>
      <c r="K852" s="5" t="str">
        <f aca="false">IF(A852="","",IF(H852&lt;&gt;"",Assumptions!$D$5-H852,IF(C852="","",Assumptions!$D$5-(C852+Assumptions!$B$8))))</f>
        <v/>
      </c>
      <c r="L852" s="5" t="str">
        <f aca="false">IF(K852="","",IF(K852&lt;0,"Phase 1 (unliquidated)",IF(K852&lt;=Assumptions!$B$7,"Phase 1 (recently liquidated)",IF(K852&lt;=Assumptions!$B$6,"Protest required","Deadline passed — litigation only"))))</f>
        <v/>
      </c>
      <c r="M852" s="20" t="str">
        <f aca="false">IF(K852="","",IF(H852&lt;&gt;"",H852+Assumptions!$B$6,C852+Assumptions!$B$8+Assumptions!$B$6))</f>
        <v/>
      </c>
      <c r="N852" s="20" t="str">
        <f aca="false">IF(K852="","",IF(K852&lt;0,IF(H852&lt;&gt;"",H852+Assumptions!$B$7,C852+Assumptions!$B$8+Assumptions!$B$7),M852))</f>
        <v/>
      </c>
      <c r="O852" s="21" t="str">
        <f aca="false">IF(N852="","",N852-Assumptions!$D$5)</f>
        <v/>
      </c>
      <c r="P852" s="22"/>
      <c r="Q852" s="22"/>
      <c r="R852" s="18" t="str">
        <f aca="false">IF(Q852="","",Q852*IF(LEFT(L852,7)="Phase 1",Assumptions!$B$11,Assumptions!$B$12))</f>
        <v/>
      </c>
    </row>
    <row r="853" customFormat="false" ht="15" hidden="false" customHeight="true" outlineLevel="0" collapsed="false">
      <c r="C853" s="24"/>
      <c r="F853" s="22"/>
      <c r="G853" s="23"/>
      <c r="H853" s="24"/>
      <c r="J853" s="18" t="str">
        <f aca="false">IF(F853="","",F853*G853)</f>
        <v/>
      </c>
      <c r="K853" s="5" t="str">
        <f aca="false">IF(A853="","",IF(H853&lt;&gt;"",Assumptions!$D$5-H853,IF(C853="","",Assumptions!$D$5-(C853+Assumptions!$B$8))))</f>
        <v/>
      </c>
      <c r="L853" s="5" t="str">
        <f aca="false">IF(K853="","",IF(K853&lt;0,"Phase 1 (unliquidated)",IF(K853&lt;=Assumptions!$B$7,"Phase 1 (recently liquidated)",IF(K853&lt;=Assumptions!$B$6,"Protest required","Deadline passed — litigation only"))))</f>
        <v/>
      </c>
      <c r="M853" s="20" t="str">
        <f aca="false">IF(K853="","",IF(H853&lt;&gt;"",H853+Assumptions!$B$6,C853+Assumptions!$B$8+Assumptions!$B$6))</f>
        <v/>
      </c>
      <c r="N853" s="20" t="str">
        <f aca="false">IF(K853="","",IF(K853&lt;0,IF(H853&lt;&gt;"",H853+Assumptions!$B$7,C853+Assumptions!$B$8+Assumptions!$B$7),M853))</f>
        <v/>
      </c>
      <c r="O853" s="21" t="str">
        <f aca="false">IF(N853="","",N853-Assumptions!$D$5)</f>
        <v/>
      </c>
      <c r="P853" s="22"/>
      <c r="Q853" s="22"/>
      <c r="R853" s="18" t="str">
        <f aca="false">IF(Q853="","",Q853*IF(LEFT(L853,7)="Phase 1",Assumptions!$B$11,Assumptions!$B$12))</f>
        <v/>
      </c>
    </row>
    <row r="854" customFormat="false" ht="15" hidden="false" customHeight="true" outlineLevel="0" collapsed="false">
      <c r="C854" s="24"/>
      <c r="F854" s="22"/>
      <c r="G854" s="23"/>
      <c r="H854" s="24"/>
      <c r="J854" s="18" t="str">
        <f aca="false">IF(F854="","",F854*G854)</f>
        <v/>
      </c>
      <c r="K854" s="5" t="str">
        <f aca="false">IF(A854="","",IF(H854&lt;&gt;"",Assumptions!$D$5-H854,IF(C854="","",Assumptions!$D$5-(C854+Assumptions!$B$8))))</f>
        <v/>
      </c>
      <c r="L854" s="5" t="str">
        <f aca="false">IF(K854="","",IF(K854&lt;0,"Phase 1 (unliquidated)",IF(K854&lt;=Assumptions!$B$7,"Phase 1 (recently liquidated)",IF(K854&lt;=Assumptions!$B$6,"Protest required","Deadline passed — litigation only"))))</f>
        <v/>
      </c>
      <c r="M854" s="20" t="str">
        <f aca="false">IF(K854="","",IF(H854&lt;&gt;"",H854+Assumptions!$B$6,C854+Assumptions!$B$8+Assumptions!$B$6))</f>
        <v/>
      </c>
      <c r="N854" s="20" t="str">
        <f aca="false">IF(K854="","",IF(K854&lt;0,IF(H854&lt;&gt;"",H854+Assumptions!$B$7,C854+Assumptions!$B$8+Assumptions!$B$7),M854))</f>
        <v/>
      </c>
      <c r="O854" s="21" t="str">
        <f aca="false">IF(N854="","",N854-Assumptions!$D$5)</f>
        <v/>
      </c>
      <c r="P854" s="22"/>
      <c r="Q854" s="22"/>
      <c r="R854" s="18" t="str">
        <f aca="false">IF(Q854="","",Q854*IF(LEFT(L854,7)="Phase 1",Assumptions!$B$11,Assumptions!$B$12))</f>
        <v/>
      </c>
    </row>
    <row r="855" customFormat="false" ht="15" hidden="false" customHeight="true" outlineLevel="0" collapsed="false">
      <c r="C855" s="24"/>
      <c r="F855" s="22"/>
      <c r="G855" s="23"/>
      <c r="H855" s="24"/>
      <c r="J855" s="18" t="str">
        <f aca="false">IF(F855="","",F855*G855)</f>
        <v/>
      </c>
      <c r="K855" s="5" t="str">
        <f aca="false">IF(A855="","",IF(H855&lt;&gt;"",Assumptions!$D$5-H855,IF(C855="","",Assumptions!$D$5-(C855+Assumptions!$B$8))))</f>
        <v/>
      </c>
      <c r="L855" s="5" t="str">
        <f aca="false">IF(K855="","",IF(K855&lt;0,"Phase 1 (unliquidated)",IF(K855&lt;=Assumptions!$B$7,"Phase 1 (recently liquidated)",IF(K855&lt;=Assumptions!$B$6,"Protest required","Deadline passed — litigation only"))))</f>
        <v/>
      </c>
      <c r="M855" s="20" t="str">
        <f aca="false">IF(K855="","",IF(H855&lt;&gt;"",H855+Assumptions!$B$6,C855+Assumptions!$B$8+Assumptions!$B$6))</f>
        <v/>
      </c>
      <c r="N855" s="20" t="str">
        <f aca="false">IF(K855="","",IF(K855&lt;0,IF(H855&lt;&gt;"",H855+Assumptions!$B$7,C855+Assumptions!$B$8+Assumptions!$B$7),M855))</f>
        <v/>
      </c>
      <c r="O855" s="21" t="str">
        <f aca="false">IF(N855="","",N855-Assumptions!$D$5)</f>
        <v/>
      </c>
      <c r="P855" s="22"/>
      <c r="Q855" s="22"/>
      <c r="R855" s="18" t="str">
        <f aca="false">IF(Q855="","",Q855*IF(LEFT(L855,7)="Phase 1",Assumptions!$B$11,Assumptions!$B$12))</f>
        <v/>
      </c>
    </row>
    <row r="856" customFormat="false" ht="15" hidden="false" customHeight="true" outlineLevel="0" collapsed="false">
      <c r="C856" s="24"/>
      <c r="F856" s="22"/>
      <c r="G856" s="23"/>
      <c r="H856" s="24"/>
      <c r="J856" s="18" t="str">
        <f aca="false">IF(F856="","",F856*G856)</f>
        <v/>
      </c>
      <c r="K856" s="5" t="str">
        <f aca="false">IF(A856="","",IF(H856&lt;&gt;"",Assumptions!$D$5-H856,IF(C856="","",Assumptions!$D$5-(C856+Assumptions!$B$8))))</f>
        <v/>
      </c>
      <c r="L856" s="5" t="str">
        <f aca="false">IF(K856="","",IF(K856&lt;0,"Phase 1 (unliquidated)",IF(K856&lt;=Assumptions!$B$7,"Phase 1 (recently liquidated)",IF(K856&lt;=Assumptions!$B$6,"Protest required","Deadline passed — litigation only"))))</f>
        <v/>
      </c>
      <c r="M856" s="20" t="str">
        <f aca="false">IF(K856="","",IF(H856&lt;&gt;"",H856+Assumptions!$B$6,C856+Assumptions!$B$8+Assumptions!$B$6))</f>
        <v/>
      </c>
      <c r="N856" s="20" t="str">
        <f aca="false">IF(K856="","",IF(K856&lt;0,IF(H856&lt;&gt;"",H856+Assumptions!$B$7,C856+Assumptions!$B$8+Assumptions!$B$7),M856))</f>
        <v/>
      </c>
      <c r="O856" s="21" t="str">
        <f aca="false">IF(N856="","",N856-Assumptions!$D$5)</f>
        <v/>
      </c>
      <c r="P856" s="22"/>
      <c r="Q856" s="22"/>
      <c r="R856" s="18" t="str">
        <f aca="false">IF(Q856="","",Q856*IF(LEFT(L856,7)="Phase 1",Assumptions!$B$11,Assumptions!$B$12))</f>
        <v/>
      </c>
    </row>
    <row r="857" customFormat="false" ht="15" hidden="false" customHeight="true" outlineLevel="0" collapsed="false">
      <c r="C857" s="24"/>
      <c r="F857" s="22"/>
      <c r="G857" s="23"/>
      <c r="H857" s="24"/>
      <c r="J857" s="18" t="str">
        <f aca="false">IF(F857="","",F857*G857)</f>
        <v/>
      </c>
      <c r="K857" s="5" t="str">
        <f aca="false">IF(A857="","",IF(H857&lt;&gt;"",Assumptions!$D$5-H857,IF(C857="","",Assumptions!$D$5-(C857+Assumptions!$B$8))))</f>
        <v/>
      </c>
      <c r="L857" s="5" t="str">
        <f aca="false">IF(K857="","",IF(K857&lt;0,"Phase 1 (unliquidated)",IF(K857&lt;=Assumptions!$B$7,"Phase 1 (recently liquidated)",IF(K857&lt;=Assumptions!$B$6,"Protest required","Deadline passed — litigation only"))))</f>
        <v/>
      </c>
      <c r="M857" s="20" t="str">
        <f aca="false">IF(K857="","",IF(H857&lt;&gt;"",H857+Assumptions!$B$6,C857+Assumptions!$B$8+Assumptions!$B$6))</f>
        <v/>
      </c>
      <c r="N857" s="20" t="str">
        <f aca="false">IF(K857="","",IF(K857&lt;0,IF(H857&lt;&gt;"",H857+Assumptions!$B$7,C857+Assumptions!$B$8+Assumptions!$B$7),M857))</f>
        <v/>
      </c>
      <c r="O857" s="21" t="str">
        <f aca="false">IF(N857="","",N857-Assumptions!$D$5)</f>
        <v/>
      </c>
      <c r="P857" s="22"/>
      <c r="Q857" s="22"/>
      <c r="R857" s="18" t="str">
        <f aca="false">IF(Q857="","",Q857*IF(LEFT(L857,7)="Phase 1",Assumptions!$B$11,Assumptions!$B$12))</f>
        <v/>
      </c>
    </row>
    <row r="858" customFormat="false" ht="15" hidden="false" customHeight="true" outlineLevel="0" collapsed="false">
      <c r="C858" s="24"/>
      <c r="F858" s="22"/>
      <c r="G858" s="23"/>
      <c r="H858" s="24"/>
      <c r="J858" s="18" t="str">
        <f aca="false">IF(F858="","",F858*G858)</f>
        <v/>
      </c>
      <c r="K858" s="5" t="str">
        <f aca="false">IF(A858="","",IF(H858&lt;&gt;"",Assumptions!$D$5-H858,IF(C858="","",Assumptions!$D$5-(C858+Assumptions!$B$8))))</f>
        <v/>
      </c>
      <c r="L858" s="5" t="str">
        <f aca="false">IF(K858="","",IF(K858&lt;0,"Phase 1 (unliquidated)",IF(K858&lt;=Assumptions!$B$7,"Phase 1 (recently liquidated)",IF(K858&lt;=Assumptions!$B$6,"Protest required","Deadline passed — litigation only"))))</f>
        <v/>
      </c>
      <c r="M858" s="20" t="str">
        <f aca="false">IF(K858="","",IF(H858&lt;&gt;"",H858+Assumptions!$B$6,C858+Assumptions!$B$8+Assumptions!$B$6))</f>
        <v/>
      </c>
      <c r="N858" s="20" t="str">
        <f aca="false">IF(K858="","",IF(K858&lt;0,IF(H858&lt;&gt;"",H858+Assumptions!$B$7,C858+Assumptions!$B$8+Assumptions!$B$7),M858))</f>
        <v/>
      </c>
      <c r="O858" s="21" t="str">
        <f aca="false">IF(N858="","",N858-Assumptions!$D$5)</f>
        <v/>
      </c>
      <c r="P858" s="22"/>
      <c r="Q858" s="22"/>
      <c r="R858" s="18" t="str">
        <f aca="false">IF(Q858="","",Q858*IF(LEFT(L858,7)="Phase 1",Assumptions!$B$11,Assumptions!$B$12))</f>
        <v/>
      </c>
    </row>
    <row r="859" customFormat="false" ht="15" hidden="false" customHeight="true" outlineLevel="0" collapsed="false">
      <c r="C859" s="24"/>
      <c r="F859" s="22"/>
      <c r="G859" s="23"/>
      <c r="H859" s="24"/>
      <c r="J859" s="18" t="str">
        <f aca="false">IF(F859="","",F859*G859)</f>
        <v/>
      </c>
      <c r="K859" s="5" t="str">
        <f aca="false">IF(A859="","",IF(H859&lt;&gt;"",Assumptions!$D$5-H859,IF(C859="","",Assumptions!$D$5-(C859+Assumptions!$B$8))))</f>
        <v/>
      </c>
      <c r="L859" s="5" t="str">
        <f aca="false">IF(K859="","",IF(K859&lt;0,"Phase 1 (unliquidated)",IF(K859&lt;=Assumptions!$B$7,"Phase 1 (recently liquidated)",IF(K859&lt;=Assumptions!$B$6,"Protest required","Deadline passed — litigation only"))))</f>
        <v/>
      </c>
      <c r="M859" s="20" t="str">
        <f aca="false">IF(K859="","",IF(H859&lt;&gt;"",H859+Assumptions!$B$6,C859+Assumptions!$B$8+Assumptions!$B$6))</f>
        <v/>
      </c>
      <c r="N859" s="20" t="str">
        <f aca="false">IF(K859="","",IF(K859&lt;0,IF(H859&lt;&gt;"",H859+Assumptions!$B$7,C859+Assumptions!$B$8+Assumptions!$B$7),M859))</f>
        <v/>
      </c>
      <c r="O859" s="21" t="str">
        <f aca="false">IF(N859="","",N859-Assumptions!$D$5)</f>
        <v/>
      </c>
      <c r="P859" s="22"/>
      <c r="Q859" s="22"/>
      <c r="R859" s="18" t="str">
        <f aca="false">IF(Q859="","",Q859*IF(LEFT(L859,7)="Phase 1",Assumptions!$B$11,Assumptions!$B$12))</f>
        <v/>
      </c>
    </row>
    <row r="860" customFormat="false" ht="15" hidden="false" customHeight="true" outlineLevel="0" collapsed="false">
      <c r="C860" s="24"/>
      <c r="F860" s="22"/>
      <c r="G860" s="23"/>
      <c r="H860" s="24"/>
      <c r="J860" s="18" t="str">
        <f aca="false">IF(F860="","",F860*G860)</f>
        <v/>
      </c>
      <c r="K860" s="5" t="str">
        <f aca="false">IF(A860="","",IF(H860&lt;&gt;"",Assumptions!$D$5-H860,IF(C860="","",Assumptions!$D$5-(C860+Assumptions!$B$8))))</f>
        <v/>
      </c>
      <c r="L860" s="5" t="str">
        <f aca="false">IF(K860="","",IF(K860&lt;0,"Phase 1 (unliquidated)",IF(K860&lt;=Assumptions!$B$7,"Phase 1 (recently liquidated)",IF(K860&lt;=Assumptions!$B$6,"Protest required","Deadline passed — litigation only"))))</f>
        <v/>
      </c>
      <c r="M860" s="20" t="str">
        <f aca="false">IF(K860="","",IF(H860&lt;&gt;"",H860+Assumptions!$B$6,C860+Assumptions!$B$8+Assumptions!$B$6))</f>
        <v/>
      </c>
      <c r="N860" s="20" t="str">
        <f aca="false">IF(K860="","",IF(K860&lt;0,IF(H860&lt;&gt;"",H860+Assumptions!$B$7,C860+Assumptions!$B$8+Assumptions!$B$7),M860))</f>
        <v/>
      </c>
      <c r="O860" s="21" t="str">
        <f aca="false">IF(N860="","",N860-Assumptions!$D$5)</f>
        <v/>
      </c>
      <c r="P860" s="22"/>
      <c r="Q860" s="22"/>
      <c r="R860" s="18" t="str">
        <f aca="false">IF(Q860="","",Q860*IF(LEFT(L860,7)="Phase 1",Assumptions!$B$11,Assumptions!$B$12))</f>
        <v/>
      </c>
    </row>
    <row r="861" customFormat="false" ht="15" hidden="false" customHeight="true" outlineLevel="0" collapsed="false">
      <c r="C861" s="24"/>
      <c r="F861" s="22"/>
      <c r="G861" s="23"/>
      <c r="H861" s="24"/>
      <c r="J861" s="18" t="str">
        <f aca="false">IF(F861="","",F861*G861)</f>
        <v/>
      </c>
      <c r="K861" s="5" t="str">
        <f aca="false">IF(A861="","",IF(H861&lt;&gt;"",Assumptions!$D$5-H861,IF(C861="","",Assumptions!$D$5-(C861+Assumptions!$B$8))))</f>
        <v/>
      </c>
      <c r="L861" s="5" t="str">
        <f aca="false">IF(K861="","",IF(K861&lt;0,"Phase 1 (unliquidated)",IF(K861&lt;=Assumptions!$B$7,"Phase 1 (recently liquidated)",IF(K861&lt;=Assumptions!$B$6,"Protest required","Deadline passed — litigation only"))))</f>
        <v/>
      </c>
      <c r="M861" s="20" t="str">
        <f aca="false">IF(K861="","",IF(H861&lt;&gt;"",H861+Assumptions!$B$6,C861+Assumptions!$B$8+Assumptions!$B$6))</f>
        <v/>
      </c>
      <c r="N861" s="20" t="str">
        <f aca="false">IF(K861="","",IF(K861&lt;0,IF(H861&lt;&gt;"",H861+Assumptions!$B$7,C861+Assumptions!$B$8+Assumptions!$B$7),M861))</f>
        <v/>
      </c>
      <c r="O861" s="21" t="str">
        <f aca="false">IF(N861="","",N861-Assumptions!$D$5)</f>
        <v/>
      </c>
      <c r="P861" s="22"/>
      <c r="Q861" s="22"/>
      <c r="R861" s="18" t="str">
        <f aca="false">IF(Q861="","",Q861*IF(LEFT(L861,7)="Phase 1",Assumptions!$B$11,Assumptions!$B$12))</f>
        <v/>
      </c>
    </row>
    <row r="862" customFormat="false" ht="15" hidden="false" customHeight="true" outlineLevel="0" collapsed="false">
      <c r="C862" s="24"/>
      <c r="F862" s="22"/>
      <c r="G862" s="23"/>
      <c r="H862" s="24"/>
      <c r="J862" s="18" t="str">
        <f aca="false">IF(F862="","",F862*G862)</f>
        <v/>
      </c>
      <c r="K862" s="5" t="str">
        <f aca="false">IF(A862="","",IF(H862&lt;&gt;"",Assumptions!$D$5-H862,IF(C862="","",Assumptions!$D$5-(C862+Assumptions!$B$8))))</f>
        <v/>
      </c>
      <c r="L862" s="5" t="str">
        <f aca="false">IF(K862="","",IF(K862&lt;0,"Phase 1 (unliquidated)",IF(K862&lt;=Assumptions!$B$7,"Phase 1 (recently liquidated)",IF(K862&lt;=Assumptions!$B$6,"Protest required","Deadline passed — litigation only"))))</f>
        <v/>
      </c>
      <c r="M862" s="20" t="str">
        <f aca="false">IF(K862="","",IF(H862&lt;&gt;"",H862+Assumptions!$B$6,C862+Assumptions!$B$8+Assumptions!$B$6))</f>
        <v/>
      </c>
      <c r="N862" s="20" t="str">
        <f aca="false">IF(K862="","",IF(K862&lt;0,IF(H862&lt;&gt;"",H862+Assumptions!$B$7,C862+Assumptions!$B$8+Assumptions!$B$7),M862))</f>
        <v/>
      </c>
      <c r="O862" s="21" t="str">
        <f aca="false">IF(N862="","",N862-Assumptions!$D$5)</f>
        <v/>
      </c>
      <c r="P862" s="22"/>
      <c r="Q862" s="22"/>
      <c r="R862" s="18" t="str">
        <f aca="false">IF(Q862="","",Q862*IF(LEFT(L862,7)="Phase 1",Assumptions!$B$11,Assumptions!$B$12))</f>
        <v/>
      </c>
    </row>
    <row r="863" customFormat="false" ht="15" hidden="false" customHeight="true" outlineLevel="0" collapsed="false">
      <c r="C863" s="24"/>
      <c r="F863" s="22"/>
      <c r="G863" s="23"/>
      <c r="H863" s="24"/>
      <c r="J863" s="18" t="str">
        <f aca="false">IF(F863="","",F863*G863)</f>
        <v/>
      </c>
      <c r="K863" s="5" t="str">
        <f aca="false">IF(A863="","",IF(H863&lt;&gt;"",Assumptions!$D$5-H863,IF(C863="","",Assumptions!$D$5-(C863+Assumptions!$B$8))))</f>
        <v/>
      </c>
      <c r="L863" s="5" t="str">
        <f aca="false">IF(K863="","",IF(K863&lt;0,"Phase 1 (unliquidated)",IF(K863&lt;=Assumptions!$B$7,"Phase 1 (recently liquidated)",IF(K863&lt;=Assumptions!$B$6,"Protest required","Deadline passed — litigation only"))))</f>
        <v/>
      </c>
      <c r="M863" s="20" t="str">
        <f aca="false">IF(K863="","",IF(H863&lt;&gt;"",H863+Assumptions!$B$6,C863+Assumptions!$B$8+Assumptions!$B$6))</f>
        <v/>
      </c>
      <c r="N863" s="20" t="str">
        <f aca="false">IF(K863="","",IF(K863&lt;0,IF(H863&lt;&gt;"",H863+Assumptions!$B$7,C863+Assumptions!$B$8+Assumptions!$B$7),M863))</f>
        <v/>
      </c>
      <c r="O863" s="21" t="str">
        <f aca="false">IF(N863="","",N863-Assumptions!$D$5)</f>
        <v/>
      </c>
      <c r="P863" s="22"/>
      <c r="Q863" s="22"/>
      <c r="R863" s="18" t="str">
        <f aca="false">IF(Q863="","",Q863*IF(LEFT(L863,7)="Phase 1",Assumptions!$B$11,Assumptions!$B$12))</f>
        <v/>
      </c>
    </row>
    <row r="864" customFormat="false" ht="15" hidden="false" customHeight="true" outlineLevel="0" collapsed="false">
      <c r="C864" s="24"/>
      <c r="F864" s="22"/>
      <c r="G864" s="23"/>
      <c r="H864" s="24"/>
      <c r="J864" s="18" t="str">
        <f aca="false">IF(F864="","",F864*G864)</f>
        <v/>
      </c>
      <c r="K864" s="5" t="str">
        <f aca="false">IF(A864="","",IF(H864&lt;&gt;"",Assumptions!$D$5-H864,IF(C864="","",Assumptions!$D$5-(C864+Assumptions!$B$8))))</f>
        <v/>
      </c>
      <c r="L864" s="5" t="str">
        <f aca="false">IF(K864="","",IF(K864&lt;0,"Phase 1 (unliquidated)",IF(K864&lt;=Assumptions!$B$7,"Phase 1 (recently liquidated)",IF(K864&lt;=Assumptions!$B$6,"Protest required","Deadline passed — litigation only"))))</f>
        <v/>
      </c>
      <c r="M864" s="20" t="str">
        <f aca="false">IF(K864="","",IF(H864&lt;&gt;"",H864+Assumptions!$B$6,C864+Assumptions!$B$8+Assumptions!$B$6))</f>
        <v/>
      </c>
      <c r="N864" s="20" t="str">
        <f aca="false">IF(K864="","",IF(K864&lt;0,IF(H864&lt;&gt;"",H864+Assumptions!$B$7,C864+Assumptions!$B$8+Assumptions!$B$7),M864))</f>
        <v/>
      </c>
      <c r="O864" s="21" t="str">
        <f aca="false">IF(N864="","",N864-Assumptions!$D$5)</f>
        <v/>
      </c>
      <c r="P864" s="22"/>
      <c r="Q864" s="22"/>
      <c r="R864" s="18" t="str">
        <f aca="false">IF(Q864="","",Q864*IF(LEFT(L864,7)="Phase 1",Assumptions!$B$11,Assumptions!$B$12))</f>
        <v/>
      </c>
    </row>
    <row r="865" customFormat="false" ht="15" hidden="false" customHeight="true" outlineLevel="0" collapsed="false">
      <c r="C865" s="24"/>
      <c r="F865" s="22"/>
      <c r="G865" s="23"/>
      <c r="H865" s="24"/>
      <c r="J865" s="18" t="str">
        <f aca="false">IF(F865="","",F865*G865)</f>
        <v/>
      </c>
      <c r="K865" s="5" t="str">
        <f aca="false">IF(A865="","",IF(H865&lt;&gt;"",Assumptions!$D$5-H865,IF(C865="","",Assumptions!$D$5-(C865+Assumptions!$B$8))))</f>
        <v/>
      </c>
      <c r="L865" s="5" t="str">
        <f aca="false">IF(K865="","",IF(K865&lt;0,"Phase 1 (unliquidated)",IF(K865&lt;=Assumptions!$B$7,"Phase 1 (recently liquidated)",IF(K865&lt;=Assumptions!$B$6,"Protest required","Deadline passed — litigation only"))))</f>
        <v/>
      </c>
      <c r="M865" s="20" t="str">
        <f aca="false">IF(K865="","",IF(H865&lt;&gt;"",H865+Assumptions!$B$6,C865+Assumptions!$B$8+Assumptions!$B$6))</f>
        <v/>
      </c>
      <c r="N865" s="20" t="str">
        <f aca="false">IF(K865="","",IF(K865&lt;0,IF(H865&lt;&gt;"",H865+Assumptions!$B$7,C865+Assumptions!$B$8+Assumptions!$B$7),M865))</f>
        <v/>
      </c>
      <c r="O865" s="21" t="str">
        <f aca="false">IF(N865="","",N865-Assumptions!$D$5)</f>
        <v/>
      </c>
      <c r="P865" s="22"/>
      <c r="Q865" s="22"/>
      <c r="R865" s="18" t="str">
        <f aca="false">IF(Q865="","",Q865*IF(LEFT(L865,7)="Phase 1",Assumptions!$B$11,Assumptions!$B$12))</f>
        <v/>
      </c>
    </row>
    <row r="866" customFormat="false" ht="15" hidden="false" customHeight="true" outlineLevel="0" collapsed="false">
      <c r="C866" s="24"/>
      <c r="F866" s="22"/>
      <c r="G866" s="23"/>
      <c r="H866" s="24"/>
      <c r="J866" s="18" t="str">
        <f aca="false">IF(F866="","",F866*G866)</f>
        <v/>
      </c>
      <c r="K866" s="5" t="str">
        <f aca="false">IF(A866="","",IF(H866&lt;&gt;"",Assumptions!$D$5-H866,IF(C866="","",Assumptions!$D$5-(C866+Assumptions!$B$8))))</f>
        <v/>
      </c>
      <c r="L866" s="5" t="str">
        <f aca="false">IF(K866="","",IF(K866&lt;0,"Phase 1 (unliquidated)",IF(K866&lt;=Assumptions!$B$7,"Phase 1 (recently liquidated)",IF(K866&lt;=Assumptions!$B$6,"Protest required","Deadline passed — litigation only"))))</f>
        <v/>
      </c>
      <c r="M866" s="20" t="str">
        <f aca="false">IF(K866="","",IF(H866&lt;&gt;"",H866+Assumptions!$B$6,C866+Assumptions!$B$8+Assumptions!$B$6))</f>
        <v/>
      </c>
      <c r="N866" s="20" t="str">
        <f aca="false">IF(K866="","",IF(K866&lt;0,IF(H866&lt;&gt;"",H866+Assumptions!$B$7,C866+Assumptions!$B$8+Assumptions!$B$7),M866))</f>
        <v/>
      </c>
      <c r="O866" s="21" t="str">
        <f aca="false">IF(N866="","",N866-Assumptions!$D$5)</f>
        <v/>
      </c>
      <c r="P866" s="22"/>
      <c r="Q866" s="22"/>
      <c r="R866" s="18" t="str">
        <f aca="false">IF(Q866="","",Q866*IF(LEFT(L866,7)="Phase 1",Assumptions!$B$11,Assumptions!$B$12))</f>
        <v/>
      </c>
    </row>
    <row r="867" customFormat="false" ht="15" hidden="false" customHeight="true" outlineLevel="0" collapsed="false">
      <c r="C867" s="24"/>
      <c r="F867" s="22"/>
      <c r="G867" s="23"/>
      <c r="H867" s="24"/>
      <c r="J867" s="18" t="str">
        <f aca="false">IF(F867="","",F867*G867)</f>
        <v/>
      </c>
      <c r="K867" s="5" t="str">
        <f aca="false">IF(A867="","",IF(H867&lt;&gt;"",Assumptions!$D$5-H867,IF(C867="","",Assumptions!$D$5-(C867+Assumptions!$B$8))))</f>
        <v/>
      </c>
      <c r="L867" s="5" t="str">
        <f aca="false">IF(K867="","",IF(K867&lt;0,"Phase 1 (unliquidated)",IF(K867&lt;=Assumptions!$B$7,"Phase 1 (recently liquidated)",IF(K867&lt;=Assumptions!$B$6,"Protest required","Deadline passed — litigation only"))))</f>
        <v/>
      </c>
      <c r="M867" s="20" t="str">
        <f aca="false">IF(K867="","",IF(H867&lt;&gt;"",H867+Assumptions!$B$6,C867+Assumptions!$B$8+Assumptions!$B$6))</f>
        <v/>
      </c>
      <c r="N867" s="20" t="str">
        <f aca="false">IF(K867="","",IF(K867&lt;0,IF(H867&lt;&gt;"",H867+Assumptions!$B$7,C867+Assumptions!$B$8+Assumptions!$B$7),M867))</f>
        <v/>
      </c>
      <c r="O867" s="21" t="str">
        <f aca="false">IF(N867="","",N867-Assumptions!$D$5)</f>
        <v/>
      </c>
      <c r="P867" s="22"/>
      <c r="Q867" s="22"/>
      <c r="R867" s="18" t="str">
        <f aca="false">IF(Q867="","",Q867*IF(LEFT(L867,7)="Phase 1",Assumptions!$B$11,Assumptions!$B$12))</f>
        <v/>
      </c>
    </row>
    <row r="868" customFormat="false" ht="15" hidden="false" customHeight="true" outlineLevel="0" collapsed="false">
      <c r="C868" s="24"/>
      <c r="F868" s="22"/>
      <c r="G868" s="23"/>
      <c r="H868" s="24"/>
      <c r="J868" s="18" t="str">
        <f aca="false">IF(F868="","",F868*G868)</f>
        <v/>
      </c>
      <c r="K868" s="5" t="str">
        <f aca="false">IF(A868="","",IF(H868&lt;&gt;"",Assumptions!$D$5-H868,IF(C868="","",Assumptions!$D$5-(C868+Assumptions!$B$8))))</f>
        <v/>
      </c>
      <c r="L868" s="5" t="str">
        <f aca="false">IF(K868="","",IF(K868&lt;0,"Phase 1 (unliquidated)",IF(K868&lt;=Assumptions!$B$7,"Phase 1 (recently liquidated)",IF(K868&lt;=Assumptions!$B$6,"Protest required","Deadline passed — litigation only"))))</f>
        <v/>
      </c>
      <c r="M868" s="20" t="str">
        <f aca="false">IF(K868="","",IF(H868&lt;&gt;"",H868+Assumptions!$B$6,C868+Assumptions!$B$8+Assumptions!$B$6))</f>
        <v/>
      </c>
      <c r="N868" s="20" t="str">
        <f aca="false">IF(K868="","",IF(K868&lt;0,IF(H868&lt;&gt;"",H868+Assumptions!$B$7,C868+Assumptions!$B$8+Assumptions!$B$7),M868))</f>
        <v/>
      </c>
      <c r="O868" s="21" t="str">
        <f aca="false">IF(N868="","",N868-Assumptions!$D$5)</f>
        <v/>
      </c>
      <c r="P868" s="22"/>
      <c r="Q868" s="22"/>
      <c r="R868" s="18" t="str">
        <f aca="false">IF(Q868="","",Q868*IF(LEFT(L868,7)="Phase 1",Assumptions!$B$11,Assumptions!$B$12))</f>
        <v/>
      </c>
    </row>
    <row r="869" customFormat="false" ht="15" hidden="false" customHeight="true" outlineLevel="0" collapsed="false">
      <c r="C869" s="24"/>
      <c r="F869" s="22"/>
      <c r="G869" s="23"/>
      <c r="H869" s="24"/>
      <c r="J869" s="18" t="str">
        <f aca="false">IF(F869="","",F869*G869)</f>
        <v/>
      </c>
      <c r="K869" s="5" t="str">
        <f aca="false">IF(A869="","",IF(H869&lt;&gt;"",Assumptions!$D$5-H869,IF(C869="","",Assumptions!$D$5-(C869+Assumptions!$B$8))))</f>
        <v/>
      </c>
      <c r="L869" s="5" t="str">
        <f aca="false">IF(K869="","",IF(K869&lt;0,"Phase 1 (unliquidated)",IF(K869&lt;=Assumptions!$B$7,"Phase 1 (recently liquidated)",IF(K869&lt;=Assumptions!$B$6,"Protest required","Deadline passed — litigation only"))))</f>
        <v/>
      </c>
      <c r="M869" s="20" t="str">
        <f aca="false">IF(K869="","",IF(H869&lt;&gt;"",H869+Assumptions!$B$6,C869+Assumptions!$B$8+Assumptions!$B$6))</f>
        <v/>
      </c>
      <c r="N869" s="20" t="str">
        <f aca="false">IF(K869="","",IF(K869&lt;0,IF(H869&lt;&gt;"",H869+Assumptions!$B$7,C869+Assumptions!$B$8+Assumptions!$B$7),M869))</f>
        <v/>
      </c>
      <c r="O869" s="21" t="str">
        <f aca="false">IF(N869="","",N869-Assumptions!$D$5)</f>
        <v/>
      </c>
      <c r="P869" s="22"/>
      <c r="Q869" s="22"/>
      <c r="R869" s="18" t="str">
        <f aca="false">IF(Q869="","",Q869*IF(LEFT(L869,7)="Phase 1",Assumptions!$B$11,Assumptions!$B$12))</f>
        <v/>
      </c>
    </row>
    <row r="870" customFormat="false" ht="15" hidden="false" customHeight="true" outlineLevel="0" collapsed="false">
      <c r="C870" s="24"/>
      <c r="F870" s="22"/>
      <c r="G870" s="23"/>
      <c r="H870" s="24"/>
      <c r="J870" s="18" t="str">
        <f aca="false">IF(F870="","",F870*G870)</f>
        <v/>
      </c>
      <c r="K870" s="5" t="str">
        <f aca="false">IF(A870="","",IF(H870&lt;&gt;"",Assumptions!$D$5-H870,IF(C870="","",Assumptions!$D$5-(C870+Assumptions!$B$8))))</f>
        <v/>
      </c>
      <c r="L870" s="5" t="str">
        <f aca="false">IF(K870="","",IF(K870&lt;0,"Phase 1 (unliquidated)",IF(K870&lt;=Assumptions!$B$7,"Phase 1 (recently liquidated)",IF(K870&lt;=Assumptions!$B$6,"Protest required","Deadline passed — litigation only"))))</f>
        <v/>
      </c>
      <c r="M870" s="20" t="str">
        <f aca="false">IF(K870="","",IF(H870&lt;&gt;"",H870+Assumptions!$B$6,C870+Assumptions!$B$8+Assumptions!$B$6))</f>
        <v/>
      </c>
      <c r="N870" s="20" t="str">
        <f aca="false">IF(K870="","",IF(K870&lt;0,IF(H870&lt;&gt;"",H870+Assumptions!$B$7,C870+Assumptions!$B$8+Assumptions!$B$7),M870))</f>
        <v/>
      </c>
      <c r="O870" s="21" t="str">
        <f aca="false">IF(N870="","",N870-Assumptions!$D$5)</f>
        <v/>
      </c>
      <c r="P870" s="22"/>
      <c r="Q870" s="22"/>
      <c r="R870" s="18" t="str">
        <f aca="false">IF(Q870="","",Q870*IF(LEFT(L870,7)="Phase 1",Assumptions!$B$11,Assumptions!$B$12))</f>
        <v/>
      </c>
    </row>
    <row r="871" customFormat="false" ht="15" hidden="false" customHeight="true" outlineLevel="0" collapsed="false">
      <c r="C871" s="24"/>
      <c r="F871" s="22"/>
      <c r="G871" s="23"/>
      <c r="H871" s="24"/>
      <c r="J871" s="18" t="str">
        <f aca="false">IF(F871="","",F871*G871)</f>
        <v/>
      </c>
      <c r="K871" s="5" t="str">
        <f aca="false">IF(A871="","",IF(H871&lt;&gt;"",Assumptions!$D$5-H871,IF(C871="","",Assumptions!$D$5-(C871+Assumptions!$B$8))))</f>
        <v/>
      </c>
      <c r="L871" s="5" t="str">
        <f aca="false">IF(K871="","",IF(K871&lt;0,"Phase 1 (unliquidated)",IF(K871&lt;=Assumptions!$B$7,"Phase 1 (recently liquidated)",IF(K871&lt;=Assumptions!$B$6,"Protest required","Deadline passed — litigation only"))))</f>
        <v/>
      </c>
      <c r="M871" s="20" t="str">
        <f aca="false">IF(K871="","",IF(H871&lt;&gt;"",H871+Assumptions!$B$6,C871+Assumptions!$B$8+Assumptions!$B$6))</f>
        <v/>
      </c>
      <c r="N871" s="20" t="str">
        <f aca="false">IF(K871="","",IF(K871&lt;0,IF(H871&lt;&gt;"",H871+Assumptions!$B$7,C871+Assumptions!$B$8+Assumptions!$B$7),M871))</f>
        <v/>
      </c>
      <c r="O871" s="21" t="str">
        <f aca="false">IF(N871="","",N871-Assumptions!$D$5)</f>
        <v/>
      </c>
      <c r="P871" s="22"/>
      <c r="Q871" s="22"/>
      <c r="R871" s="18" t="str">
        <f aca="false">IF(Q871="","",Q871*IF(LEFT(L871,7)="Phase 1",Assumptions!$B$11,Assumptions!$B$12))</f>
        <v/>
      </c>
    </row>
    <row r="872" customFormat="false" ht="15" hidden="false" customHeight="true" outlineLevel="0" collapsed="false">
      <c r="C872" s="24"/>
      <c r="F872" s="22"/>
      <c r="G872" s="23"/>
      <c r="H872" s="24"/>
      <c r="J872" s="18" t="str">
        <f aca="false">IF(F872="","",F872*G872)</f>
        <v/>
      </c>
      <c r="K872" s="5" t="str">
        <f aca="false">IF(A872="","",IF(H872&lt;&gt;"",Assumptions!$D$5-H872,IF(C872="","",Assumptions!$D$5-(C872+Assumptions!$B$8))))</f>
        <v/>
      </c>
      <c r="L872" s="5" t="str">
        <f aca="false">IF(K872="","",IF(K872&lt;0,"Phase 1 (unliquidated)",IF(K872&lt;=Assumptions!$B$7,"Phase 1 (recently liquidated)",IF(K872&lt;=Assumptions!$B$6,"Protest required","Deadline passed — litigation only"))))</f>
        <v/>
      </c>
      <c r="M872" s="20" t="str">
        <f aca="false">IF(K872="","",IF(H872&lt;&gt;"",H872+Assumptions!$B$6,C872+Assumptions!$B$8+Assumptions!$B$6))</f>
        <v/>
      </c>
      <c r="N872" s="20" t="str">
        <f aca="false">IF(K872="","",IF(K872&lt;0,IF(H872&lt;&gt;"",H872+Assumptions!$B$7,C872+Assumptions!$B$8+Assumptions!$B$7),M872))</f>
        <v/>
      </c>
      <c r="O872" s="21" t="str">
        <f aca="false">IF(N872="","",N872-Assumptions!$D$5)</f>
        <v/>
      </c>
      <c r="P872" s="22"/>
      <c r="Q872" s="22"/>
      <c r="R872" s="18" t="str">
        <f aca="false">IF(Q872="","",Q872*IF(LEFT(L872,7)="Phase 1",Assumptions!$B$11,Assumptions!$B$12))</f>
        <v/>
      </c>
    </row>
    <row r="873" customFormat="false" ht="15" hidden="false" customHeight="true" outlineLevel="0" collapsed="false">
      <c r="C873" s="24"/>
      <c r="F873" s="22"/>
      <c r="G873" s="23"/>
      <c r="H873" s="24"/>
      <c r="J873" s="18" t="str">
        <f aca="false">IF(F873="","",F873*G873)</f>
        <v/>
      </c>
      <c r="K873" s="5" t="str">
        <f aca="false">IF(A873="","",IF(H873&lt;&gt;"",Assumptions!$D$5-H873,IF(C873="","",Assumptions!$D$5-(C873+Assumptions!$B$8))))</f>
        <v/>
      </c>
      <c r="L873" s="5" t="str">
        <f aca="false">IF(K873="","",IF(K873&lt;0,"Phase 1 (unliquidated)",IF(K873&lt;=Assumptions!$B$7,"Phase 1 (recently liquidated)",IF(K873&lt;=Assumptions!$B$6,"Protest required","Deadline passed — litigation only"))))</f>
        <v/>
      </c>
      <c r="M873" s="20" t="str">
        <f aca="false">IF(K873="","",IF(H873&lt;&gt;"",H873+Assumptions!$B$6,C873+Assumptions!$B$8+Assumptions!$B$6))</f>
        <v/>
      </c>
      <c r="N873" s="20" t="str">
        <f aca="false">IF(K873="","",IF(K873&lt;0,IF(H873&lt;&gt;"",H873+Assumptions!$B$7,C873+Assumptions!$B$8+Assumptions!$B$7),M873))</f>
        <v/>
      </c>
      <c r="O873" s="21" t="str">
        <f aca="false">IF(N873="","",N873-Assumptions!$D$5)</f>
        <v/>
      </c>
      <c r="P873" s="22"/>
      <c r="Q873" s="22"/>
      <c r="R873" s="18" t="str">
        <f aca="false">IF(Q873="","",Q873*IF(LEFT(L873,7)="Phase 1",Assumptions!$B$11,Assumptions!$B$12))</f>
        <v/>
      </c>
    </row>
    <row r="874" customFormat="false" ht="15" hidden="false" customHeight="true" outlineLevel="0" collapsed="false">
      <c r="C874" s="24"/>
      <c r="F874" s="22"/>
      <c r="G874" s="23"/>
      <c r="H874" s="24"/>
      <c r="J874" s="18" t="str">
        <f aca="false">IF(F874="","",F874*G874)</f>
        <v/>
      </c>
      <c r="K874" s="5" t="str">
        <f aca="false">IF(A874="","",IF(H874&lt;&gt;"",Assumptions!$D$5-H874,IF(C874="","",Assumptions!$D$5-(C874+Assumptions!$B$8))))</f>
        <v/>
      </c>
      <c r="L874" s="5" t="str">
        <f aca="false">IF(K874="","",IF(K874&lt;0,"Phase 1 (unliquidated)",IF(K874&lt;=Assumptions!$B$7,"Phase 1 (recently liquidated)",IF(K874&lt;=Assumptions!$B$6,"Protest required","Deadline passed — litigation only"))))</f>
        <v/>
      </c>
      <c r="M874" s="20" t="str">
        <f aca="false">IF(K874="","",IF(H874&lt;&gt;"",H874+Assumptions!$B$6,C874+Assumptions!$B$8+Assumptions!$B$6))</f>
        <v/>
      </c>
      <c r="N874" s="20" t="str">
        <f aca="false">IF(K874="","",IF(K874&lt;0,IF(H874&lt;&gt;"",H874+Assumptions!$B$7,C874+Assumptions!$B$8+Assumptions!$B$7),M874))</f>
        <v/>
      </c>
      <c r="O874" s="21" t="str">
        <f aca="false">IF(N874="","",N874-Assumptions!$D$5)</f>
        <v/>
      </c>
      <c r="P874" s="22"/>
      <c r="Q874" s="22"/>
      <c r="R874" s="18" t="str">
        <f aca="false">IF(Q874="","",Q874*IF(LEFT(L874,7)="Phase 1",Assumptions!$B$11,Assumptions!$B$12))</f>
        <v/>
      </c>
    </row>
    <row r="875" customFormat="false" ht="15" hidden="false" customHeight="true" outlineLevel="0" collapsed="false">
      <c r="C875" s="24"/>
      <c r="F875" s="22"/>
      <c r="G875" s="23"/>
      <c r="H875" s="24"/>
      <c r="J875" s="18" t="str">
        <f aca="false">IF(F875="","",F875*G875)</f>
        <v/>
      </c>
      <c r="K875" s="5" t="str">
        <f aca="false">IF(A875="","",IF(H875&lt;&gt;"",Assumptions!$D$5-H875,IF(C875="","",Assumptions!$D$5-(C875+Assumptions!$B$8))))</f>
        <v/>
      </c>
      <c r="L875" s="5" t="str">
        <f aca="false">IF(K875="","",IF(K875&lt;0,"Phase 1 (unliquidated)",IF(K875&lt;=Assumptions!$B$7,"Phase 1 (recently liquidated)",IF(K875&lt;=Assumptions!$B$6,"Protest required","Deadline passed — litigation only"))))</f>
        <v/>
      </c>
      <c r="M875" s="20" t="str">
        <f aca="false">IF(K875="","",IF(H875&lt;&gt;"",H875+Assumptions!$B$6,C875+Assumptions!$B$8+Assumptions!$B$6))</f>
        <v/>
      </c>
      <c r="N875" s="20" t="str">
        <f aca="false">IF(K875="","",IF(K875&lt;0,IF(H875&lt;&gt;"",H875+Assumptions!$B$7,C875+Assumptions!$B$8+Assumptions!$B$7),M875))</f>
        <v/>
      </c>
      <c r="O875" s="21" t="str">
        <f aca="false">IF(N875="","",N875-Assumptions!$D$5)</f>
        <v/>
      </c>
      <c r="P875" s="22"/>
      <c r="Q875" s="22"/>
      <c r="R875" s="18" t="str">
        <f aca="false">IF(Q875="","",Q875*IF(LEFT(L875,7)="Phase 1",Assumptions!$B$11,Assumptions!$B$12))</f>
        <v/>
      </c>
    </row>
    <row r="876" customFormat="false" ht="15" hidden="false" customHeight="true" outlineLevel="0" collapsed="false">
      <c r="C876" s="24"/>
      <c r="F876" s="22"/>
      <c r="G876" s="23"/>
      <c r="H876" s="24"/>
      <c r="J876" s="18" t="str">
        <f aca="false">IF(F876="","",F876*G876)</f>
        <v/>
      </c>
      <c r="K876" s="5" t="str">
        <f aca="false">IF(A876="","",IF(H876&lt;&gt;"",Assumptions!$D$5-H876,IF(C876="","",Assumptions!$D$5-(C876+Assumptions!$B$8))))</f>
        <v/>
      </c>
      <c r="L876" s="5" t="str">
        <f aca="false">IF(K876="","",IF(K876&lt;0,"Phase 1 (unliquidated)",IF(K876&lt;=Assumptions!$B$7,"Phase 1 (recently liquidated)",IF(K876&lt;=Assumptions!$B$6,"Protest required","Deadline passed — litigation only"))))</f>
        <v/>
      </c>
      <c r="M876" s="20" t="str">
        <f aca="false">IF(K876="","",IF(H876&lt;&gt;"",H876+Assumptions!$B$6,C876+Assumptions!$B$8+Assumptions!$B$6))</f>
        <v/>
      </c>
      <c r="N876" s="20" t="str">
        <f aca="false">IF(K876="","",IF(K876&lt;0,IF(H876&lt;&gt;"",H876+Assumptions!$B$7,C876+Assumptions!$B$8+Assumptions!$B$7),M876))</f>
        <v/>
      </c>
      <c r="O876" s="21" t="str">
        <f aca="false">IF(N876="","",N876-Assumptions!$D$5)</f>
        <v/>
      </c>
      <c r="P876" s="22"/>
      <c r="Q876" s="22"/>
      <c r="R876" s="18" t="str">
        <f aca="false">IF(Q876="","",Q876*IF(LEFT(L876,7)="Phase 1",Assumptions!$B$11,Assumptions!$B$12))</f>
        <v/>
      </c>
    </row>
    <row r="877" customFormat="false" ht="15" hidden="false" customHeight="true" outlineLevel="0" collapsed="false">
      <c r="C877" s="24"/>
      <c r="F877" s="22"/>
      <c r="G877" s="23"/>
      <c r="H877" s="24"/>
      <c r="J877" s="18" t="str">
        <f aca="false">IF(F877="","",F877*G877)</f>
        <v/>
      </c>
      <c r="K877" s="5" t="str">
        <f aca="false">IF(A877="","",IF(H877&lt;&gt;"",Assumptions!$D$5-H877,IF(C877="","",Assumptions!$D$5-(C877+Assumptions!$B$8))))</f>
        <v/>
      </c>
      <c r="L877" s="5" t="str">
        <f aca="false">IF(K877="","",IF(K877&lt;0,"Phase 1 (unliquidated)",IF(K877&lt;=Assumptions!$B$7,"Phase 1 (recently liquidated)",IF(K877&lt;=Assumptions!$B$6,"Protest required","Deadline passed — litigation only"))))</f>
        <v/>
      </c>
      <c r="M877" s="20" t="str">
        <f aca="false">IF(K877="","",IF(H877&lt;&gt;"",H877+Assumptions!$B$6,C877+Assumptions!$B$8+Assumptions!$B$6))</f>
        <v/>
      </c>
      <c r="N877" s="20" t="str">
        <f aca="false">IF(K877="","",IF(K877&lt;0,IF(H877&lt;&gt;"",H877+Assumptions!$B$7,C877+Assumptions!$B$8+Assumptions!$B$7),M877))</f>
        <v/>
      </c>
      <c r="O877" s="21" t="str">
        <f aca="false">IF(N877="","",N877-Assumptions!$D$5)</f>
        <v/>
      </c>
      <c r="P877" s="22"/>
      <c r="Q877" s="22"/>
      <c r="R877" s="18" t="str">
        <f aca="false">IF(Q877="","",Q877*IF(LEFT(L877,7)="Phase 1",Assumptions!$B$11,Assumptions!$B$12))</f>
        <v/>
      </c>
    </row>
    <row r="878" customFormat="false" ht="15" hidden="false" customHeight="true" outlineLevel="0" collapsed="false">
      <c r="C878" s="24"/>
      <c r="F878" s="22"/>
      <c r="G878" s="23"/>
      <c r="H878" s="24"/>
      <c r="J878" s="18" t="str">
        <f aca="false">IF(F878="","",F878*G878)</f>
        <v/>
      </c>
      <c r="K878" s="5" t="str">
        <f aca="false">IF(A878="","",IF(H878&lt;&gt;"",Assumptions!$D$5-H878,IF(C878="","",Assumptions!$D$5-(C878+Assumptions!$B$8))))</f>
        <v/>
      </c>
      <c r="L878" s="5" t="str">
        <f aca="false">IF(K878="","",IF(K878&lt;0,"Phase 1 (unliquidated)",IF(K878&lt;=Assumptions!$B$7,"Phase 1 (recently liquidated)",IF(K878&lt;=Assumptions!$B$6,"Protest required","Deadline passed — litigation only"))))</f>
        <v/>
      </c>
      <c r="M878" s="20" t="str">
        <f aca="false">IF(K878="","",IF(H878&lt;&gt;"",H878+Assumptions!$B$6,C878+Assumptions!$B$8+Assumptions!$B$6))</f>
        <v/>
      </c>
      <c r="N878" s="20" t="str">
        <f aca="false">IF(K878="","",IF(K878&lt;0,IF(H878&lt;&gt;"",H878+Assumptions!$B$7,C878+Assumptions!$B$8+Assumptions!$B$7),M878))</f>
        <v/>
      </c>
      <c r="O878" s="21" t="str">
        <f aca="false">IF(N878="","",N878-Assumptions!$D$5)</f>
        <v/>
      </c>
      <c r="P878" s="22"/>
      <c r="Q878" s="22"/>
      <c r="R878" s="18" t="str">
        <f aca="false">IF(Q878="","",Q878*IF(LEFT(L878,7)="Phase 1",Assumptions!$B$11,Assumptions!$B$12))</f>
        <v/>
      </c>
    </row>
    <row r="879" customFormat="false" ht="15" hidden="false" customHeight="true" outlineLevel="0" collapsed="false">
      <c r="C879" s="24"/>
      <c r="F879" s="22"/>
      <c r="G879" s="23"/>
      <c r="H879" s="24"/>
      <c r="J879" s="18" t="str">
        <f aca="false">IF(F879="","",F879*G879)</f>
        <v/>
      </c>
      <c r="K879" s="5" t="str">
        <f aca="false">IF(A879="","",IF(H879&lt;&gt;"",Assumptions!$D$5-H879,IF(C879="","",Assumptions!$D$5-(C879+Assumptions!$B$8))))</f>
        <v/>
      </c>
      <c r="L879" s="5" t="str">
        <f aca="false">IF(K879="","",IF(K879&lt;0,"Phase 1 (unliquidated)",IF(K879&lt;=Assumptions!$B$7,"Phase 1 (recently liquidated)",IF(K879&lt;=Assumptions!$B$6,"Protest required","Deadline passed — litigation only"))))</f>
        <v/>
      </c>
      <c r="M879" s="20" t="str">
        <f aca="false">IF(K879="","",IF(H879&lt;&gt;"",H879+Assumptions!$B$6,C879+Assumptions!$B$8+Assumptions!$B$6))</f>
        <v/>
      </c>
      <c r="N879" s="20" t="str">
        <f aca="false">IF(K879="","",IF(K879&lt;0,IF(H879&lt;&gt;"",H879+Assumptions!$B$7,C879+Assumptions!$B$8+Assumptions!$B$7),M879))</f>
        <v/>
      </c>
      <c r="O879" s="21" t="str">
        <f aca="false">IF(N879="","",N879-Assumptions!$D$5)</f>
        <v/>
      </c>
      <c r="P879" s="22"/>
      <c r="Q879" s="22"/>
      <c r="R879" s="18" t="str">
        <f aca="false">IF(Q879="","",Q879*IF(LEFT(L879,7)="Phase 1",Assumptions!$B$11,Assumptions!$B$12))</f>
        <v/>
      </c>
    </row>
    <row r="880" customFormat="false" ht="15" hidden="false" customHeight="true" outlineLevel="0" collapsed="false">
      <c r="C880" s="24"/>
      <c r="F880" s="22"/>
      <c r="G880" s="23"/>
      <c r="H880" s="24"/>
      <c r="J880" s="18" t="str">
        <f aca="false">IF(F880="","",F880*G880)</f>
        <v/>
      </c>
      <c r="K880" s="5" t="str">
        <f aca="false">IF(A880="","",IF(H880&lt;&gt;"",Assumptions!$D$5-H880,IF(C880="","",Assumptions!$D$5-(C880+Assumptions!$B$8))))</f>
        <v/>
      </c>
      <c r="L880" s="5" t="str">
        <f aca="false">IF(K880="","",IF(K880&lt;0,"Phase 1 (unliquidated)",IF(K880&lt;=Assumptions!$B$7,"Phase 1 (recently liquidated)",IF(K880&lt;=Assumptions!$B$6,"Protest required","Deadline passed — litigation only"))))</f>
        <v/>
      </c>
      <c r="M880" s="20" t="str">
        <f aca="false">IF(K880="","",IF(H880&lt;&gt;"",H880+Assumptions!$B$6,C880+Assumptions!$B$8+Assumptions!$B$6))</f>
        <v/>
      </c>
      <c r="N880" s="20" t="str">
        <f aca="false">IF(K880="","",IF(K880&lt;0,IF(H880&lt;&gt;"",H880+Assumptions!$B$7,C880+Assumptions!$B$8+Assumptions!$B$7),M880))</f>
        <v/>
      </c>
      <c r="O880" s="21" t="str">
        <f aca="false">IF(N880="","",N880-Assumptions!$D$5)</f>
        <v/>
      </c>
      <c r="P880" s="22"/>
      <c r="Q880" s="22"/>
      <c r="R880" s="18" t="str">
        <f aca="false">IF(Q880="","",Q880*IF(LEFT(L880,7)="Phase 1",Assumptions!$B$11,Assumptions!$B$12))</f>
        <v/>
      </c>
    </row>
    <row r="881" customFormat="false" ht="15" hidden="false" customHeight="true" outlineLevel="0" collapsed="false">
      <c r="C881" s="24"/>
      <c r="F881" s="22"/>
      <c r="G881" s="23"/>
      <c r="H881" s="24"/>
      <c r="J881" s="18" t="str">
        <f aca="false">IF(F881="","",F881*G881)</f>
        <v/>
      </c>
      <c r="K881" s="5" t="str">
        <f aca="false">IF(A881="","",IF(H881&lt;&gt;"",Assumptions!$D$5-H881,IF(C881="","",Assumptions!$D$5-(C881+Assumptions!$B$8))))</f>
        <v/>
      </c>
      <c r="L881" s="5" t="str">
        <f aca="false">IF(K881="","",IF(K881&lt;0,"Phase 1 (unliquidated)",IF(K881&lt;=Assumptions!$B$7,"Phase 1 (recently liquidated)",IF(K881&lt;=Assumptions!$B$6,"Protest required","Deadline passed — litigation only"))))</f>
        <v/>
      </c>
      <c r="M881" s="20" t="str">
        <f aca="false">IF(K881="","",IF(H881&lt;&gt;"",H881+Assumptions!$B$6,C881+Assumptions!$B$8+Assumptions!$B$6))</f>
        <v/>
      </c>
      <c r="N881" s="20" t="str">
        <f aca="false">IF(K881="","",IF(K881&lt;0,IF(H881&lt;&gt;"",H881+Assumptions!$B$7,C881+Assumptions!$B$8+Assumptions!$B$7),M881))</f>
        <v/>
      </c>
      <c r="O881" s="21" t="str">
        <f aca="false">IF(N881="","",N881-Assumptions!$D$5)</f>
        <v/>
      </c>
      <c r="P881" s="22"/>
      <c r="Q881" s="22"/>
      <c r="R881" s="18" t="str">
        <f aca="false">IF(Q881="","",Q881*IF(LEFT(L881,7)="Phase 1",Assumptions!$B$11,Assumptions!$B$12))</f>
        <v/>
      </c>
    </row>
    <row r="882" customFormat="false" ht="15" hidden="false" customHeight="true" outlineLevel="0" collapsed="false">
      <c r="C882" s="24"/>
      <c r="F882" s="22"/>
      <c r="G882" s="23"/>
      <c r="H882" s="24"/>
      <c r="J882" s="18" t="str">
        <f aca="false">IF(F882="","",F882*G882)</f>
        <v/>
      </c>
      <c r="K882" s="5" t="str">
        <f aca="false">IF(A882="","",IF(H882&lt;&gt;"",Assumptions!$D$5-H882,IF(C882="","",Assumptions!$D$5-(C882+Assumptions!$B$8))))</f>
        <v/>
      </c>
      <c r="L882" s="5" t="str">
        <f aca="false">IF(K882="","",IF(K882&lt;0,"Phase 1 (unliquidated)",IF(K882&lt;=Assumptions!$B$7,"Phase 1 (recently liquidated)",IF(K882&lt;=Assumptions!$B$6,"Protest required","Deadline passed — litigation only"))))</f>
        <v/>
      </c>
      <c r="M882" s="20" t="str">
        <f aca="false">IF(K882="","",IF(H882&lt;&gt;"",H882+Assumptions!$B$6,C882+Assumptions!$B$8+Assumptions!$B$6))</f>
        <v/>
      </c>
      <c r="N882" s="20" t="str">
        <f aca="false">IF(K882="","",IF(K882&lt;0,IF(H882&lt;&gt;"",H882+Assumptions!$B$7,C882+Assumptions!$B$8+Assumptions!$B$7),M882))</f>
        <v/>
      </c>
      <c r="O882" s="21" t="str">
        <f aca="false">IF(N882="","",N882-Assumptions!$D$5)</f>
        <v/>
      </c>
      <c r="P882" s="22"/>
      <c r="Q882" s="22"/>
      <c r="R882" s="18" t="str">
        <f aca="false">IF(Q882="","",Q882*IF(LEFT(L882,7)="Phase 1",Assumptions!$B$11,Assumptions!$B$12))</f>
        <v/>
      </c>
    </row>
    <row r="883" customFormat="false" ht="15" hidden="false" customHeight="true" outlineLevel="0" collapsed="false">
      <c r="C883" s="24"/>
      <c r="F883" s="22"/>
      <c r="G883" s="23"/>
      <c r="H883" s="24"/>
      <c r="J883" s="18" t="str">
        <f aca="false">IF(F883="","",F883*G883)</f>
        <v/>
      </c>
      <c r="K883" s="5" t="str">
        <f aca="false">IF(A883="","",IF(H883&lt;&gt;"",Assumptions!$D$5-H883,IF(C883="","",Assumptions!$D$5-(C883+Assumptions!$B$8))))</f>
        <v/>
      </c>
      <c r="L883" s="5" t="str">
        <f aca="false">IF(K883="","",IF(K883&lt;0,"Phase 1 (unliquidated)",IF(K883&lt;=Assumptions!$B$7,"Phase 1 (recently liquidated)",IF(K883&lt;=Assumptions!$B$6,"Protest required","Deadline passed — litigation only"))))</f>
        <v/>
      </c>
      <c r="M883" s="20" t="str">
        <f aca="false">IF(K883="","",IF(H883&lt;&gt;"",H883+Assumptions!$B$6,C883+Assumptions!$B$8+Assumptions!$B$6))</f>
        <v/>
      </c>
      <c r="N883" s="20" t="str">
        <f aca="false">IF(K883="","",IF(K883&lt;0,IF(H883&lt;&gt;"",H883+Assumptions!$B$7,C883+Assumptions!$B$8+Assumptions!$B$7),M883))</f>
        <v/>
      </c>
      <c r="O883" s="21" t="str">
        <f aca="false">IF(N883="","",N883-Assumptions!$D$5)</f>
        <v/>
      </c>
      <c r="P883" s="22"/>
      <c r="Q883" s="22"/>
      <c r="R883" s="18" t="str">
        <f aca="false">IF(Q883="","",Q883*IF(LEFT(L883,7)="Phase 1",Assumptions!$B$11,Assumptions!$B$12))</f>
        <v/>
      </c>
    </row>
    <row r="884" customFormat="false" ht="15" hidden="false" customHeight="true" outlineLevel="0" collapsed="false">
      <c r="C884" s="24"/>
      <c r="F884" s="22"/>
      <c r="G884" s="23"/>
      <c r="H884" s="24"/>
      <c r="J884" s="18" t="str">
        <f aca="false">IF(F884="","",F884*G884)</f>
        <v/>
      </c>
      <c r="K884" s="5" t="str">
        <f aca="false">IF(A884="","",IF(H884&lt;&gt;"",Assumptions!$D$5-H884,IF(C884="","",Assumptions!$D$5-(C884+Assumptions!$B$8))))</f>
        <v/>
      </c>
      <c r="L884" s="5" t="str">
        <f aca="false">IF(K884="","",IF(K884&lt;0,"Phase 1 (unliquidated)",IF(K884&lt;=Assumptions!$B$7,"Phase 1 (recently liquidated)",IF(K884&lt;=Assumptions!$B$6,"Protest required","Deadline passed — litigation only"))))</f>
        <v/>
      </c>
      <c r="M884" s="20" t="str">
        <f aca="false">IF(K884="","",IF(H884&lt;&gt;"",H884+Assumptions!$B$6,C884+Assumptions!$B$8+Assumptions!$B$6))</f>
        <v/>
      </c>
      <c r="N884" s="20" t="str">
        <f aca="false">IF(K884="","",IF(K884&lt;0,IF(H884&lt;&gt;"",H884+Assumptions!$B$7,C884+Assumptions!$B$8+Assumptions!$B$7),M884))</f>
        <v/>
      </c>
      <c r="O884" s="21" t="str">
        <f aca="false">IF(N884="","",N884-Assumptions!$D$5)</f>
        <v/>
      </c>
      <c r="P884" s="22"/>
      <c r="Q884" s="22"/>
      <c r="R884" s="18" t="str">
        <f aca="false">IF(Q884="","",Q884*IF(LEFT(L884,7)="Phase 1",Assumptions!$B$11,Assumptions!$B$12))</f>
        <v/>
      </c>
    </row>
    <row r="885" customFormat="false" ht="15" hidden="false" customHeight="true" outlineLevel="0" collapsed="false">
      <c r="C885" s="24"/>
      <c r="F885" s="22"/>
      <c r="G885" s="23"/>
      <c r="H885" s="24"/>
      <c r="J885" s="18" t="str">
        <f aca="false">IF(F885="","",F885*G885)</f>
        <v/>
      </c>
      <c r="K885" s="5" t="str">
        <f aca="false">IF(A885="","",IF(H885&lt;&gt;"",Assumptions!$D$5-H885,IF(C885="","",Assumptions!$D$5-(C885+Assumptions!$B$8))))</f>
        <v/>
      </c>
      <c r="L885" s="5" t="str">
        <f aca="false">IF(K885="","",IF(K885&lt;0,"Phase 1 (unliquidated)",IF(K885&lt;=Assumptions!$B$7,"Phase 1 (recently liquidated)",IF(K885&lt;=Assumptions!$B$6,"Protest required","Deadline passed — litigation only"))))</f>
        <v/>
      </c>
      <c r="M885" s="20" t="str">
        <f aca="false">IF(K885="","",IF(H885&lt;&gt;"",H885+Assumptions!$B$6,C885+Assumptions!$B$8+Assumptions!$B$6))</f>
        <v/>
      </c>
      <c r="N885" s="20" t="str">
        <f aca="false">IF(K885="","",IF(K885&lt;0,IF(H885&lt;&gt;"",H885+Assumptions!$B$7,C885+Assumptions!$B$8+Assumptions!$B$7),M885))</f>
        <v/>
      </c>
      <c r="O885" s="21" t="str">
        <f aca="false">IF(N885="","",N885-Assumptions!$D$5)</f>
        <v/>
      </c>
      <c r="P885" s="22"/>
      <c r="Q885" s="22"/>
      <c r="R885" s="18" t="str">
        <f aca="false">IF(Q885="","",Q885*IF(LEFT(L885,7)="Phase 1",Assumptions!$B$11,Assumptions!$B$12))</f>
        <v/>
      </c>
    </row>
    <row r="886" customFormat="false" ht="15" hidden="false" customHeight="true" outlineLevel="0" collapsed="false">
      <c r="C886" s="24"/>
      <c r="F886" s="22"/>
      <c r="G886" s="23"/>
      <c r="H886" s="24"/>
      <c r="J886" s="18" t="str">
        <f aca="false">IF(F886="","",F886*G886)</f>
        <v/>
      </c>
      <c r="K886" s="5" t="str">
        <f aca="false">IF(A886="","",IF(H886&lt;&gt;"",Assumptions!$D$5-H886,IF(C886="","",Assumptions!$D$5-(C886+Assumptions!$B$8))))</f>
        <v/>
      </c>
      <c r="L886" s="5" t="str">
        <f aca="false">IF(K886="","",IF(K886&lt;0,"Phase 1 (unliquidated)",IF(K886&lt;=Assumptions!$B$7,"Phase 1 (recently liquidated)",IF(K886&lt;=Assumptions!$B$6,"Protest required","Deadline passed — litigation only"))))</f>
        <v/>
      </c>
      <c r="M886" s="20" t="str">
        <f aca="false">IF(K886="","",IF(H886&lt;&gt;"",H886+Assumptions!$B$6,C886+Assumptions!$B$8+Assumptions!$B$6))</f>
        <v/>
      </c>
      <c r="N886" s="20" t="str">
        <f aca="false">IF(K886="","",IF(K886&lt;0,IF(H886&lt;&gt;"",H886+Assumptions!$B$7,C886+Assumptions!$B$8+Assumptions!$B$7),M886))</f>
        <v/>
      </c>
      <c r="O886" s="21" t="str">
        <f aca="false">IF(N886="","",N886-Assumptions!$D$5)</f>
        <v/>
      </c>
      <c r="P886" s="22"/>
      <c r="Q886" s="22"/>
      <c r="R886" s="18" t="str">
        <f aca="false">IF(Q886="","",Q886*IF(LEFT(L886,7)="Phase 1",Assumptions!$B$11,Assumptions!$B$12))</f>
        <v/>
      </c>
    </row>
    <row r="887" customFormat="false" ht="15" hidden="false" customHeight="true" outlineLevel="0" collapsed="false">
      <c r="C887" s="24"/>
      <c r="F887" s="22"/>
      <c r="G887" s="23"/>
      <c r="H887" s="24"/>
      <c r="J887" s="18" t="str">
        <f aca="false">IF(F887="","",F887*G887)</f>
        <v/>
      </c>
      <c r="K887" s="5" t="str">
        <f aca="false">IF(A887="","",IF(H887&lt;&gt;"",Assumptions!$D$5-H887,IF(C887="","",Assumptions!$D$5-(C887+Assumptions!$B$8))))</f>
        <v/>
      </c>
      <c r="L887" s="5" t="str">
        <f aca="false">IF(K887="","",IF(K887&lt;0,"Phase 1 (unliquidated)",IF(K887&lt;=Assumptions!$B$7,"Phase 1 (recently liquidated)",IF(K887&lt;=Assumptions!$B$6,"Protest required","Deadline passed — litigation only"))))</f>
        <v/>
      </c>
      <c r="M887" s="20" t="str">
        <f aca="false">IF(K887="","",IF(H887&lt;&gt;"",H887+Assumptions!$B$6,C887+Assumptions!$B$8+Assumptions!$B$6))</f>
        <v/>
      </c>
      <c r="N887" s="20" t="str">
        <f aca="false">IF(K887="","",IF(K887&lt;0,IF(H887&lt;&gt;"",H887+Assumptions!$B$7,C887+Assumptions!$B$8+Assumptions!$B$7),M887))</f>
        <v/>
      </c>
      <c r="O887" s="21" t="str">
        <f aca="false">IF(N887="","",N887-Assumptions!$D$5)</f>
        <v/>
      </c>
      <c r="P887" s="22"/>
      <c r="Q887" s="22"/>
      <c r="R887" s="18" t="str">
        <f aca="false">IF(Q887="","",Q887*IF(LEFT(L887,7)="Phase 1",Assumptions!$B$11,Assumptions!$B$12))</f>
        <v/>
      </c>
    </row>
    <row r="888" customFormat="false" ht="15" hidden="false" customHeight="true" outlineLevel="0" collapsed="false">
      <c r="C888" s="24"/>
      <c r="F888" s="22"/>
      <c r="G888" s="23"/>
      <c r="H888" s="24"/>
      <c r="J888" s="18" t="str">
        <f aca="false">IF(F888="","",F888*G888)</f>
        <v/>
      </c>
      <c r="K888" s="5" t="str">
        <f aca="false">IF(A888="","",IF(H888&lt;&gt;"",Assumptions!$D$5-H888,IF(C888="","",Assumptions!$D$5-(C888+Assumptions!$B$8))))</f>
        <v/>
      </c>
      <c r="L888" s="5" t="str">
        <f aca="false">IF(K888="","",IF(K888&lt;0,"Phase 1 (unliquidated)",IF(K888&lt;=Assumptions!$B$7,"Phase 1 (recently liquidated)",IF(K888&lt;=Assumptions!$B$6,"Protest required","Deadline passed — litigation only"))))</f>
        <v/>
      </c>
      <c r="M888" s="20" t="str">
        <f aca="false">IF(K888="","",IF(H888&lt;&gt;"",H888+Assumptions!$B$6,C888+Assumptions!$B$8+Assumptions!$B$6))</f>
        <v/>
      </c>
      <c r="N888" s="20" t="str">
        <f aca="false">IF(K888="","",IF(K888&lt;0,IF(H888&lt;&gt;"",H888+Assumptions!$B$7,C888+Assumptions!$B$8+Assumptions!$B$7),M888))</f>
        <v/>
      </c>
      <c r="O888" s="21" t="str">
        <f aca="false">IF(N888="","",N888-Assumptions!$D$5)</f>
        <v/>
      </c>
      <c r="P888" s="22"/>
      <c r="Q888" s="22"/>
      <c r="R888" s="18" t="str">
        <f aca="false">IF(Q888="","",Q888*IF(LEFT(L888,7)="Phase 1",Assumptions!$B$11,Assumptions!$B$12))</f>
        <v/>
      </c>
    </row>
    <row r="889" customFormat="false" ht="15" hidden="false" customHeight="true" outlineLevel="0" collapsed="false">
      <c r="C889" s="24"/>
      <c r="F889" s="22"/>
      <c r="G889" s="23"/>
      <c r="H889" s="24"/>
      <c r="J889" s="18" t="str">
        <f aca="false">IF(F889="","",F889*G889)</f>
        <v/>
      </c>
      <c r="K889" s="5" t="str">
        <f aca="false">IF(A889="","",IF(H889&lt;&gt;"",Assumptions!$D$5-H889,IF(C889="","",Assumptions!$D$5-(C889+Assumptions!$B$8))))</f>
        <v/>
      </c>
      <c r="L889" s="5" t="str">
        <f aca="false">IF(K889="","",IF(K889&lt;0,"Phase 1 (unliquidated)",IF(K889&lt;=Assumptions!$B$7,"Phase 1 (recently liquidated)",IF(K889&lt;=Assumptions!$B$6,"Protest required","Deadline passed — litigation only"))))</f>
        <v/>
      </c>
      <c r="M889" s="20" t="str">
        <f aca="false">IF(K889="","",IF(H889&lt;&gt;"",H889+Assumptions!$B$6,C889+Assumptions!$B$8+Assumptions!$B$6))</f>
        <v/>
      </c>
      <c r="N889" s="20" t="str">
        <f aca="false">IF(K889="","",IF(K889&lt;0,IF(H889&lt;&gt;"",H889+Assumptions!$B$7,C889+Assumptions!$B$8+Assumptions!$B$7),M889))</f>
        <v/>
      </c>
      <c r="O889" s="21" t="str">
        <f aca="false">IF(N889="","",N889-Assumptions!$D$5)</f>
        <v/>
      </c>
      <c r="P889" s="22"/>
      <c r="Q889" s="22"/>
      <c r="R889" s="18" t="str">
        <f aca="false">IF(Q889="","",Q889*IF(LEFT(L889,7)="Phase 1",Assumptions!$B$11,Assumptions!$B$12))</f>
        <v/>
      </c>
    </row>
    <row r="890" customFormat="false" ht="15" hidden="false" customHeight="true" outlineLevel="0" collapsed="false">
      <c r="C890" s="24"/>
      <c r="F890" s="22"/>
      <c r="G890" s="23"/>
      <c r="H890" s="24"/>
      <c r="J890" s="18" t="str">
        <f aca="false">IF(F890="","",F890*G890)</f>
        <v/>
      </c>
      <c r="K890" s="5" t="str">
        <f aca="false">IF(A890="","",IF(H890&lt;&gt;"",Assumptions!$D$5-H890,IF(C890="","",Assumptions!$D$5-(C890+Assumptions!$B$8))))</f>
        <v/>
      </c>
      <c r="L890" s="5" t="str">
        <f aca="false">IF(K890="","",IF(K890&lt;0,"Phase 1 (unliquidated)",IF(K890&lt;=Assumptions!$B$7,"Phase 1 (recently liquidated)",IF(K890&lt;=Assumptions!$B$6,"Protest required","Deadline passed — litigation only"))))</f>
        <v/>
      </c>
      <c r="M890" s="20" t="str">
        <f aca="false">IF(K890="","",IF(H890&lt;&gt;"",H890+Assumptions!$B$6,C890+Assumptions!$B$8+Assumptions!$B$6))</f>
        <v/>
      </c>
      <c r="N890" s="20" t="str">
        <f aca="false">IF(K890="","",IF(K890&lt;0,IF(H890&lt;&gt;"",H890+Assumptions!$B$7,C890+Assumptions!$B$8+Assumptions!$B$7),M890))</f>
        <v/>
      </c>
      <c r="O890" s="21" t="str">
        <f aca="false">IF(N890="","",N890-Assumptions!$D$5)</f>
        <v/>
      </c>
      <c r="P890" s="22"/>
      <c r="Q890" s="22"/>
      <c r="R890" s="18" t="str">
        <f aca="false">IF(Q890="","",Q890*IF(LEFT(L890,7)="Phase 1",Assumptions!$B$11,Assumptions!$B$12))</f>
        <v/>
      </c>
    </row>
    <row r="891" customFormat="false" ht="15" hidden="false" customHeight="true" outlineLevel="0" collapsed="false">
      <c r="C891" s="24"/>
      <c r="F891" s="22"/>
      <c r="G891" s="23"/>
      <c r="H891" s="24"/>
      <c r="J891" s="18" t="str">
        <f aca="false">IF(F891="","",F891*G891)</f>
        <v/>
      </c>
      <c r="K891" s="5" t="str">
        <f aca="false">IF(A891="","",IF(H891&lt;&gt;"",Assumptions!$D$5-H891,IF(C891="","",Assumptions!$D$5-(C891+Assumptions!$B$8))))</f>
        <v/>
      </c>
      <c r="L891" s="5" t="str">
        <f aca="false">IF(K891="","",IF(K891&lt;0,"Phase 1 (unliquidated)",IF(K891&lt;=Assumptions!$B$7,"Phase 1 (recently liquidated)",IF(K891&lt;=Assumptions!$B$6,"Protest required","Deadline passed — litigation only"))))</f>
        <v/>
      </c>
      <c r="M891" s="20" t="str">
        <f aca="false">IF(K891="","",IF(H891&lt;&gt;"",H891+Assumptions!$B$6,C891+Assumptions!$B$8+Assumptions!$B$6))</f>
        <v/>
      </c>
      <c r="N891" s="20" t="str">
        <f aca="false">IF(K891="","",IF(K891&lt;0,IF(H891&lt;&gt;"",H891+Assumptions!$B$7,C891+Assumptions!$B$8+Assumptions!$B$7),M891))</f>
        <v/>
      </c>
      <c r="O891" s="21" t="str">
        <f aca="false">IF(N891="","",N891-Assumptions!$D$5)</f>
        <v/>
      </c>
      <c r="P891" s="22"/>
      <c r="Q891" s="22"/>
      <c r="R891" s="18" t="str">
        <f aca="false">IF(Q891="","",Q891*IF(LEFT(L891,7)="Phase 1",Assumptions!$B$11,Assumptions!$B$12))</f>
        <v/>
      </c>
    </row>
    <row r="892" customFormat="false" ht="15" hidden="false" customHeight="true" outlineLevel="0" collapsed="false">
      <c r="C892" s="24"/>
      <c r="F892" s="22"/>
      <c r="G892" s="23"/>
      <c r="H892" s="24"/>
      <c r="J892" s="18" t="str">
        <f aca="false">IF(F892="","",F892*G892)</f>
        <v/>
      </c>
      <c r="K892" s="5" t="str">
        <f aca="false">IF(A892="","",IF(H892&lt;&gt;"",Assumptions!$D$5-H892,IF(C892="","",Assumptions!$D$5-(C892+Assumptions!$B$8))))</f>
        <v/>
      </c>
      <c r="L892" s="5" t="str">
        <f aca="false">IF(K892="","",IF(K892&lt;0,"Phase 1 (unliquidated)",IF(K892&lt;=Assumptions!$B$7,"Phase 1 (recently liquidated)",IF(K892&lt;=Assumptions!$B$6,"Protest required","Deadline passed — litigation only"))))</f>
        <v/>
      </c>
      <c r="M892" s="20" t="str">
        <f aca="false">IF(K892="","",IF(H892&lt;&gt;"",H892+Assumptions!$B$6,C892+Assumptions!$B$8+Assumptions!$B$6))</f>
        <v/>
      </c>
      <c r="N892" s="20" t="str">
        <f aca="false">IF(K892="","",IF(K892&lt;0,IF(H892&lt;&gt;"",H892+Assumptions!$B$7,C892+Assumptions!$B$8+Assumptions!$B$7),M892))</f>
        <v/>
      </c>
      <c r="O892" s="21" t="str">
        <f aca="false">IF(N892="","",N892-Assumptions!$D$5)</f>
        <v/>
      </c>
      <c r="P892" s="22"/>
      <c r="Q892" s="22"/>
      <c r="R892" s="18" t="str">
        <f aca="false">IF(Q892="","",Q892*IF(LEFT(L892,7)="Phase 1",Assumptions!$B$11,Assumptions!$B$12))</f>
        <v/>
      </c>
    </row>
    <row r="893" customFormat="false" ht="15" hidden="false" customHeight="true" outlineLevel="0" collapsed="false">
      <c r="C893" s="24"/>
      <c r="F893" s="22"/>
      <c r="G893" s="23"/>
      <c r="H893" s="24"/>
      <c r="J893" s="18" t="str">
        <f aca="false">IF(F893="","",F893*G893)</f>
        <v/>
      </c>
      <c r="K893" s="5" t="str">
        <f aca="false">IF(A893="","",IF(H893&lt;&gt;"",Assumptions!$D$5-H893,IF(C893="","",Assumptions!$D$5-(C893+Assumptions!$B$8))))</f>
        <v/>
      </c>
      <c r="L893" s="5" t="str">
        <f aca="false">IF(K893="","",IF(K893&lt;0,"Phase 1 (unliquidated)",IF(K893&lt;=Assumptions!$B$7,"Phase 1 (recently liquidated)",IF(K893&lt;=Assumptions!$B$6,"Protest required","Deadline passed — litigation only"))))</f>
        <v/>
      </c>
      <c r="M893" s="20" t="str">
        <f aca="false">IF(K893="","",IF(H893&lt;&gt;"",H893+Assumptions!$B$6,C893+Assumptions!$B$8+Assumptions!$B$6))</f>
        <v/>
      </c>
      <c r="N893" s="20" t="str">
        <f aca="false">IF(K893="","",IF(K893&lt;0,IF(H893&lt;&gt;"",H893+Assumptions!$B$7,C893+Assumptions!$B$8+Assumptions!$B$7),M893))</f>
        <v/>
      </c>
      <c r="O893" s="21" t="str">
        <f aca="false">IF(N893="","",N893-Assumptions!$D$5)</f>
        <v/>
      </c>
      <c r="P893" s="22"/>
      <c r="Q893" s="22"/>
      <c r="R893" s="18" t="str">
        <f aca="false">IF(Q893="","",Q893*IF(LEFT(L893,7)="Phase 1",Assumptions!$B$11,Assumptions!$B$12))</f>
        <v/>
      </c>
    </row>
    <row r="894" customFormat="false" ht="15" hidden="false" customHeight="true" outlineLevel="0" collapsed="false">
      <c r="C894" s="24"/>
      <c r="F894" s="22"/>
      <c r="G894" s="23"/>
      <c r="H894" s="24"/>
      <c r="J894" s="18" t="str">
        <f aca="false">IF(F894="","",F894*G894)</f>
        <v/>
      </c>
      <c r="K894" s="5" t="str">
        <f aca="false">IF(A894="","",IF(H894&lt;&gt;"",Assumptions!$D$5-H894,IF(C894="","",Assumptions!$D$5-(C894+Assumptions!$B$8))))</f>
        <v/>
      </c>
      <c r="L894" s="5" t="str">
        <f aca="false">IF(K894="","",IF(K894&lt;0,"Phase 1 (unliquidated)",IF(K894&lt;=Assumptions!$B$7,"Phase 1 (recently liquidated)",IF(K894&lt;=Assumptions!$B$6,"Protest required","Deadline passed — litigation only"))))</f>
        <v/>
      </c>
      <c r="M894" s="20" t="str">
        <f aca="false">IF(K894="","",IF(H894&lt;&gt;"",H894+Assumptions!$B$6,C894+Assumptions!$B$8+Assumptions!$B$6))</f>
        <v/>
      </c>
      <c r="N894" s="20" t="str">
        <f aca="false">IF(K894="","",IF(K894&lt;0,IF(H894&lt;&gt;"",H894+Assumptions!$B$7,C894+Assumptions!$B$8+Assumptions!$B$7),M894))</f>
        <v/>
      </c>
      <c r="O894" s="21" t="str">
        <f aca="false">IF(N894="","",N894-Assumptions!$D$5)</f>
        <v/>
      </c>
      <c r="P894" s="22"/>
      <c r="Q894" s="22"/>
      <c r="R894" s="18" t="str">
        <f aca="false">IF(Q894="","",Q894*IF(LEFT(L894,7)="Phase 1",Assumptions!$B$11,Assumptions!$B$12))</f>
        <v/>
      </c>
    </row>
    <row r="895" customFormat="false" ht="15" hidden="false" customHeight="true" outlineLevel="0" collapsed="false">
      <c r="C895" s="24"/>
      <c r="F895" s="22"/>
      <c r="G895" s="23"/>
      <c r="H895" s="24"/>
      <c r="J895" s="18" t="str">
        <f aca="false">IF(F895="","",F895*G895)</f>
        <v/>
      </c>
      <c r="K895" s="5" t="str">
        <f aca="false">IF(A895="","",IF(H895&lt;&gt;"",Assumptions!$D$5-H895,IF(C895="","",Assumptions!$D$5-(C895+Assumptions!$B$8))))</f>
        <v/>
      </c>
      <c r="L895" s="5" t="str">
        <f aca="false">IF(K895="","",IF(K895&lt;0,"Phase 1 (unliquidated)",IF(K895&lt;=Assumptions!$B$7,"Phase 1 (recently liquidated)",IF(K895&lt;=Assumptions!$B$6,"Protest required","Deadline passed — litigation only"))))</f>
        <v/>
      </c>
      <c r="M895" s="20" t="str">
        <f aca="false">IF(K895="","",IF(H895&lt;&gt;"",H895+Assumptions!$B$6,C895+Assumptions!$B$8+Assumptions!$B$6))</f>
        <v/>
      </c>
      <c r="N895" s="20" t="str">
        <f aca="false">IF(K895="","",IF(K895&lt;0,IF(H895&lt;&gt;"",H895+Assumptions!$B$7,C895+Assumptions!$B$8+Assumptions!$B$7),M895))</f>
        <v/>
      </c>
      <c r="O895" s="21" t="str">
        <f aca="false">IF(N895="","",N895-Assumptions!$D$5)</f>
        <v/>
      </c>
      <c r="P895" s="22"/>
      <c r="Q895" s="22"/>
      <c r="R895" s="18" t="str">
        <f aca="false">IF(Q895="","",Q895*IF(LEFT(L895,7)="Phase 1",Assumptions!$B$11,Assumptions!$B$12))</f>
        <v/>
      </c>
    </row>
    <row r="896" customFormat="false" ht="15" hidden="false" customHeight="true" outlineLevel="0" collapsed="false">
      <c r="C896" s="24"/>
      <c r="F896" s="22"/>
      <c r="G896" s="23"/>
      <c r="H896" s="24"/>
      <c r="J896" s="18" t="str">
        <f aca="false">IF(F896="","",F896*G896)</f>
        <v/>
      </c>
      <c r="K896" s="5" t="str">
        <f aca="false">IF(A896="","",IF(H896&lt;&gt;"",Assumptions!$D$5-H896,IF(C896="","",Assumptions!$D$5-(C896+Assumptions!$B$8))))</f>
        <v/>
      </c>
      <c r="L896" s="5" t="str">
        <f aca="false">IF(K896="","",IF(K896&lt;0,"Phase 1 (unliquidated)",IF(K896&lt;=Assumptions!$B$7,"Phase 1 (recently liquidated)",IF(K896&lt;=Assumptions!$B$6,"Protest required","Deadline passed — litigation only"))))</f>
        <v/>
      </c>
      <c r="M896" s="20" t="str">
        <f aca="false">IF(K896="","",IF(H896&lt;&gt;"",H896+Assumptions!$B$6,C896+Assumptions!$B$8+Assumptions!$B$6))</f>
        <v/>
      </c>
      <c r="N896" s="20" t="str">
        <f aca="false">IF(K896="","",IF(K896&lt;0,IF(H896&lt;&gt;"",H896+Assumptions!$B$7,C896+Assumptions!$B$8+Assumptions!$B$7),M896))</f>
        <v/>
      </c>
      <c r="O896" s="21" t="str">
        <f aca="false">IF(N896="","",N896-Assumptions!$D$5)</f>
        <v/>
      </c>
      <c r="P896" s="22"/>
      <c r="Q896" s="22"/>
      <c r="R896" s="18" t="str">
        <f aca="false">IF(Q896="","",Q896*IF(LEFT(L896,7)="Phase 1",Assumptions!$B$11,Assumptions!$B$12))</f>
        <v/>
      </c>
    </row>
    <row r="897" customFormat="false" ht="15" hidden="false" customHeight="true" outlineLevel="0" collapsed="false">
      <c r="C897" s="24"/>
      <c r="F897" s="22"/>
      <c r="G897" s="23"/>
      <c r="H897" s="24"/>
      <c r="J897" s="18" t="str">
        <f aca="false">IF(F897="","",F897*G897)</f>
        <v/>
      </c>
      <c r="K897" s="5" t="str">
        <f aca="false">IF(A897="","",IF(H897&lt;&gt;"",Assumptions!$D$5-H897,IF(C897="","",Assumptions!$D$5-(C897+Assumptions!$B$8))))</f>
        <v/>
      </c>
      <c r="L897" s="5" t="str">
        <f aca="false">IF(K897="","",IF(K897&lt;0,"Phase 1 (unliquidated)",IF(K897&lt;=Assumptions!$B$7,"Phase 1 (recently liquidated)",IF(K897&lt;=Assumptions!$B$6,"Protest required","Deadline passed — litigation only"))))</f>
        <v/>
      </c>
      <c r="M897" s="20" t="str">
        <f aca="false">IF(K897="","",IF(H897&lt;&gt;"",H897+Assumptions!$B$6,C897+Assumptions!$B$8+Assumptions!$B$6))</f>
        <v/>
      </c>
      <c r="N897" s="20" t="str">
        <f aca="false">IF(K897="","",IF(K897&lt;0,IF(H897&lt;&gt;"",H897+Assumptions!$B$7,C897+Assumptions!$B$8+Assumptions!$B$7),M897))</f>
        <v/>
      </c>
      <c r="O897" s="21" t="str">
        <f aca="false">IF(N897="","",N897-Assumptions!$D$5)</f>
        <v/>
      </c>
      <c r="P897" s="22"/>
      <c r="Q897" s="22"/>
      <c r="R897" s="18" t="str">
        <f aca="false">IF(Q897="","",Q897*IF(LEFT(L897,7)="Phase 1",Assumptions!$B$11,Assumptions!$B$12))</f>
        <v/>
      </c>
    </row>
    <row r="898" customFormat="false" ht="15" hidden="false" customHeight="true" outlineLevel="0" collapsed="false">
      <c r="C898" s="24"/>
      <c r="F898" s="22"/>
      <c r="G898" s="23"/>
      <c r="H898" s="24"/>
      <c r="J898" s="18" t="str">
        <f aca="false">IF(F898="","",F898*G898)</f>
        <v/>
      </c>
      <c r="K898" s="5" t="str">
        <f aca="false">IF(A898="","",IF(H898&lt;&gt;"",Assumptions!$D$5-H898,IF(C898="","",Assumptions!$D$5-(C898+Assumptions!$B$8))))</f>
        <v/>
      </c>
      <c r="L898" s="5" t="str">
        <f aca="false">IF(K898="","",IF(K898&lt;0,"Phase 1 (unliquidated)",IF(K898&lt;=Assumptions!$B$7,"Phase 1 (recently liquidated)",IF(K898&lt;=Assumptions!$B$6,"Protest required","Deadline passed — litigation only"))))</f>
        <v/>
      </c>
      <c r="M898" s="20" t="str">
        <f aca="false">IF(K898="","",IF(H898&lt;&gt;"",H898+Assumptions!$B$6,C898+Assumptions!$B$8+Assumptions!$B$6))</f>
        <v/>
      </c>
      <c r="N898" s="20" t="str">
        <f aca="false">IF(K898="","",IF(K898&lt;0,IF(H898&lt;&gt;"",H898+Assumptions!$B$7,C898+Assumptions!$B$8+Assumptions!$B$7),M898))</f>
        <v/>
      </c>
      <c r="O898" s="21" t="str">
        <f aca="false">IF(N898="","",N898-Assumptions!$D$5)</f>
        <v/>
      </c>
      <c r="P898" s="22"/>
      <c r="Q898" s="22"/>
      <c r="R898" s="18" t="str">
        <f aca="false">IF(Q898="","",Q898*IF(LEFT(L898,7)="Phase 1",Assumptions!$B$11,Assumptions!$B$12))</f>
        <v/>
      </c>
    </row>
    <row r="899" customFormat="false" ht="15" hidden="false" customHeight="true" outlineLevel="0" collapsed="false">
      <c r="C899" s="24"/>
      <c r="F899" s="22"/>
      <c r="G899" s="23"/>
      <c r="H899" s="24"/>
      <c r="J899" s="18" t="str">
        <f aca="false">IF(F899="","",F899*G899)</f>
        <v/>
      </c>
      <c r="K899" s="5" t="str">
        <f aca="false">IF(A899="","",IF(H899&lt;&gt;"",Assumptions!$D$5-H899,IF(C899="","",Assumptions!$D$5-(C899+Assumptions!$B$8))))</f>
        <v/>
      </c>
      <c r="L899" s="5" t="str">
        <f aca="false">IF(K899="","",IF(K899&lt;0,"Phase 1 (unliquidated)",IF(K899&lt;=Assumptions!$B$7,"Phase 1 (recently liquidated)",IF(K899&lt;=Assumptions!$B$6,"Protest required","Deadline passed — litigation only"))))</f>
        <v/>
      </c>
      <c r="M899" s="20" t="str">
        <f aca="false">IF(K899="","",IF(H899&lt;&gt;"",H899+Assumptions!$B$6,C899+Assumptions!$B$8+Assumptions!$B$6))</f>
        <v/>
      </c>
      <c r="N899" s="20" t="str">
        <f aca="false">IF(K899="","",IF(K899&lt;0,IF(H899&lt;&gt;"",H899+Assumptions!$B$7,C899+Assumptions!$B$8+Assumptions!$B$7),M899))</f>
        <v/>
      </c>
      <c r="O899" s="21" t="str">
        <f aca="false">IF(N899="","",N899-Assumptions!$D$5)</f>
        <v/>
      </c>
      <c r="P899" s="22"/>
      <c r="Q899" s="22"/>
      <c r="R899" s="18" t="str">
        <f aca="false">IF(Q899="","",Q899*IF(LEFT(L899,7)="Phase 1",Assumptions!$B$11,Assumptions!$B$12))</f>
        <v/>
      </c>
    </row>
    <row r="900" customFormat="false" ht="15" hidden="false" customHeight="true" outlineLevel="0" collapsed="false">
      <c r="C900" s="24"/>
      <c r="F900" s="22"/>
      <c r="G900" s="23"/>
      <c r="H900" s="24"/>
      <c r="J900" s="18" t="str">
        <f aca="false">IF(F900="","",F900*G900)</f>
        <v/>
      </c>
      <c r="K900" s="5" t="str">
        <f aca="false">IF(A900="","",IF(H900&lt;&gt;"",Assumptions!$D$5-H900,IF(C900="","",Assumptions!$D$5-(C900+Assumptions!$B$8))))</f>
        <v/>
      </c>
      <c r="L900" s="5" t="str">
        <f aca="false">IF(K900="","",IF(K900&lt;0,"Phase 1 (unliquidated)",IF(K900&lt;=Assumptions!$B$7,"Phase 1 (recently liquidated)",IF(K900&lt;=Assumptions!$B$6,"Protest required","Deadline passed — litigation only"))))</f>
        <v/>
      </c>
      <c r="M900" s="20" t="str">
        <f aca="false">IF(K900="","",IF(H900&lt;&gt;"",H900+Assumptions!$B$6,C900+Assumptions!$B$8+Assumptions!$B$6))</f>
        <v/>
      </c>
      <c r="N900" s="20" t="str">
        <f aca="false">IF(K900="","",IF(K900&lt;0,IF(H900&lt;&gt;"",H900+Assumptions!$B$7,C900+Assumptions!$B$8+Assumptions!$B$7),M900))</f>
        <v/>
      </c>
      <c r="O900" s="21" t="str">
        <f aca="false">IF(N900="","",N900-Assumptions!$D$5)</f>
        <v/>
      </c>
      <c r="P900" s="22"/>
      <c r="Q900" s="22"/>
      <c r="R900" s="18" t="str">
        <f aca="false">IF(Q900="","",Q900*IF(LEFT(L900,7)="Phase 1",Assumptions!$B$11,Assumptions!$B$12))</f>
        <v/>
      </c>
    </row>
    <row r="901" customFormat="false" ht="15" hidden="false" customHeight="true" outlineLevel="0" collapsed="false">
      <c r="C901" s="24"/>
      <c r="F901" s="22"/>
      <c r="G901" s="23"/>
      <c r="H901" s="24"/>
      <c r="J901" s="18" t="str">
        <f aca="false">IF(F901="","",F901*G901)</f>
        <v/>
      </c>
      <c r="K901" s="5" t="str">
        <f aca="false">IF(A901="","",IF(H901&lt;&gt;"",Assumptions!$D$5-H901,IF(C901="","",Assumptions!$D$5-(C901+Assumptions!$B$8))))</f>
        <v/>
      </c>
      <c r="L901" s="5" t="str">
        <f aca="false">IF(K901="","",IF(K901&lt;0,"Phase 1 (unliquidated)",IF(K901&lt;=Assumptions!$B$7,"Phase 1 (recently liquidated)",IF(K901&lt;=Assumptions!$B$6,"Protest required","Deadline passed — litigation only"))))</f>
        <v/>
      </c>
      <c r="M901" s="20" t="str">
        <f aca="false">IF(K901="","",IF(H901&lt;&gt;"",H901+Assumptions!$B$6,C901+Assumptions!$B$8+Assumptions!$B$6))</f>
        <v/>
      </c>
      <c r="N901" s="20" t="str">
        <f aca="false">IF(K901="","",IF(K901&lt;0,IF(H901&lt;&gt;"",H901+Assumptions!$B$7,C901+Assumptions!$B$8+Assumptions!$B$7),M901))</f>
        <v/>
      </c>
      <c r="O901" s="21" t="str">
        <f aca="false">IF(N901="","",N901-Assumptions!$D$5)</f>
        <v/>
      </c>
      <c r="P901" s="22"/>
      <c r="Q901" s="22"/>
      <c r="R901" s="18" t="str">
        <f aca="false">IF(Q901="","",Q901*IF(LEFT(L901,7)="Phase 1",Assumptions!$B$11,Assumptions!$B$12))</f>
        <v/>
      </c>
    </row>
    <row r="902" customFormat="false" ht="15" hidden="false" customHeight="true" outlineLevel="0" collapsed="false">
      <c r="C902" s="24"/>
      <c r="F902" s="22"/>
      <c r="G902" s="23"/>
      <c r="H902" s="24"/>
      <c r="J902" s="18" t="str">
        <f aca="false">IF(F902="","",F902*G902)</f>
        <v/>
      </c>
      <c r="K902" s="5" t="str">
        <f aca="false">IF(A902="","",IF(H902&lt;&gt;"",Assumptions!$D$5-H902,IF(C902="","",Assumptions!$D$5-(C902+Assumptions!$B$8))))</f>
        <v/>
      </c>
      <c r="L902" s="5" t="str">
        <f aca="false">IF(K902="","",IF(K902&lt;0,"Phase 1 (unliquidated)",IF(K902&lt;=Assumptions!$B$7,"Phase 1 (recently liquidated)",IF(K902&lt;=Assumptions!$B$6,"Protest required","Deadline passed — litigation only"))))</f>
        <v/>
      </c>
      <c r="M902" s="20" t="str">
        <f aca="false">IF(K902="","",IF(H902&lt;&gt;"",H902+Assumptions!$B$6,C902+Assumptions!$B$8+Assumptions!$B$6))</f>
        <v/>
      </c>
      <c r="N902" s="20" t="str">
        <f aca="false">IF(K902="","",IF(K902&lt;0,IF(H902&lt;&gt;"",H902+Assumptions!$B$7,C902+Assumptions!$B$8+Assumptions!$B$7),M902))</f>
        <v/>
      </c>
      <c r="O902" s="21" t="str">
        <f aca="false">IF(N902="","",N902-Assumptions!$D$5)</f>
        <v/>
      </c>
      <c r="P902" s="22"/>
      <c r="Q902" s="22"/>
      <c r="R902" s="18" t="str">
        <f aca="false">IF(Q902="","",Q902*IF(LEFT(L902,7)="Phase 1",Assumptions!$B$11,Assumptions!$B$12))</f>
        <v/>
      </c>
    </row>
    <row r="903" customFormat="false" ht="15" hidden="false" customHeight="true" outlineLevel="0" collapsed="false">
      <c r="C903" s="24"/>
      <c r="F903" s="22"/>
      <c r="G903" s="23"/>
      <c r="H903" s="24"/>
      <c r="J903" s="18" t="str">
        <f aca="false">IF(F903="","",F903*G903)</f>
        <v/>
      </c>
      <c r="K903" s="5" t="str">
        <f aca="false">IF(A903="","",IF(H903&lt;&gt;"",Assumptions!$D$5-H903,IF(C903="","",Assumptions!$D$5-(C903+Assumptions!$B$8))))</f>
        <v/>
      </c>
      <c r="L903" s="5" t="str">
        <f aca="false">IF(K903="","",IF(K903&lt;0,"Phase 1 (unliquidated)",IF(K903&lt;=Assumptions!$B$7,"Phase 1 (recently liquidated)",IF(K903&lt;=Assumptions!$B$6,"Protest required","Deadline passed — litigation only"))))</f>
        <v/>
      </c>
      <c r="M903" s="20" t="str">
        <f aca="false">IF(K903="","",IF(H903&lt;&gt;"",H903+Assumptions!$B$6,C903+Assumptions!$B$8+Assumptions!$B$6))</f>
        <v/>
      </c>
      <c r="N903" s="20" t="str">
        <f aca="false">IF(K903="","",IF(K903&lt;0,IF(H903&lt;&gt;"",H903+Assumptions!$B$7,C903+Assumptions!$B$8+Assumptions!$B$7),M903))</f>
        <v/>
      </c>
      <c r="O903" s="21" t="str">
        <f aca="false">IF(N903="","",N903-Assumptions!$D$5)</f>
        <v/>
      </c>
      <c r="P903" s="22"/>
      <c r="Q903" s="22"/>
      <c r="R903" s="18" t="str">
        <f aca="false">IF(Q903="","",Q903*IF(LEFT(L903,7)="Phase 1",Assumptions!$B$11,Assumptions!$B$12))</f>
        <v/>
      </c>
    </row>
    <row r="904" customFormat="false" ht="15" hidden="false" customHeight="true" outlineLevel="0" collapsed="false">
      <c r="C904" s="24"/>
      <c r="F904" s="22"/>
      <c r="G904" s="23"/>
      <c r="H904" s="24"/>
      <c r="J904" s="18" t="str">
        <f aca="false">IF(F904="","",F904*G904)</f>
        <v/>
      </c>
      <c r="K904" s="5" t="str">
        <f aca="false">IF(A904="","",IF(H904&lt;&gt;"",Assumptions!$D$5-H904,IF(C904="","",Assumptions!$D$5-(C904+Assumptions!$B$8))))</f>
        <v/>
      </c>
      <c r="L904" s="5" t="str">
        <f aca="false">IF(K904="","",IF(K904&lt;0,"Phase 1 (unliquidated)",IF(K904&lt;=Assumptions!$B$7,"Phase 1 (recently liquidated)",IF(K904&lt;=Assumptions!$B$6,"Protest required","Deadline passed — litigation only"))))</f>
        <v/>
      </c>
      <c r="M904" s="20" t="str">
        <f aca="false">IF(K904="","",IF(H904&lt;&gt;"",H904+Assumptions!$B$6,C904+Assumptions!$B$8+Assumptions!$B$6))</f>
        <v/>
      </c>
      <c r="N904" s="20" t="str">
        <f aca="false">IF(K904="","",IF(K904&lt;0,IF(H904&lt;&gt;"",H904+Assumptions!$B$7,C904+Assumptions!$B$8+Assumptions!$B$7),M904))</f>
        <v/>
      </c>
      <c r="O904" s="21" t="str">
        <f aca="false">IF(N904="","",N904-Assumptions!$D$5)</f>
        <v/>
      </c>
      <c r="P904" s="22"/>
      <c r="Q904" s="22"/>
      <c r="R904" s="18" t="str">
        <f aca="false">IF(Q904="","",Q904*IF(LEFT(L904,7)="Phase 1",Assumptions!$B$11,Assumptions!$B$12))</f>
        <v/>
      </c>
    </row>
    <row r="905" customFormat="false" ht="15" hidden="false" customHeight="true" outlineLevel="0" collapsed="false">
      <c r="C905" s="24"/>
      <c r="F905" s="22"/>
      <c r="G905" s="23"/>
      <c r="H905" s="24"/>
      <c r="J905" s="18" t="str">
        <f aca="false">IF(F905="","",F905*G905)</f>
        <v/>
      </c>
      <c r="K905" s="5" t="str">
        <f aca="false">IF(A905="","",IF(H905&lt;&gt;"",Assumptions!$D$5-H905,IF(C905="","",Assumptions!$D$5-(C905+Assumptions!$B$8))))</f>
        <v/>
      </c>
      <c r="L905" s="5" t="str">
        <f aca="false">IF(K905="","",IF(K905&lt;0,"Phase 1 (unliquidated)",IF(K905&lt;=Assumptions!$B$7,"Phase 1 (recently liquidated)",IF(K905&lt;=Assumptions!$B$6,"Protest required","Deadline passed — litigation only"))))</f>
        <v/>
      </c>
      <c r="M905" s="20" t="str">
        <f aca="false">IF(K905="","",IF(H905&lt;&gt;"",H905+Assumptions!$B$6,C905+Assumptions!$B$8+Assumptions!$B$6))</f>
        <v/>
      </c>
      <c r="N905" s="20" t="str">
        <f aca="false">IF(K905="","",IF(K905&lt;0,IF(H905&lt;&gt;"",H905+Assumptions!$B$7,C905+Assumptions!$B$8+Assumptions!$B$7),M905))</f>
        <v/>
      </c>
      <c r="O905" s="21" t="str">
        <f aca="false">IF(N905="","",N905-Assumptions!$D$5)</f>
        <v/>
      </c>
      <c r="P905" s="22"/>
      <c r="Q905" s="22"/>
      <c r="R905" s="18" t="str">
        <f aca="false">IF(Q905="","",Q905*IF(LEFT(L905,7)="Phase 1",Assumptions!$B$11,Assumptions!$B$12))</f>
        <v/>
      </c>
    </row>
    <row r="906" customFormat="false" ht="15" hidden="false" customHeight="true" outlineLevel="0" collapsed="false">
      <c r="C906" s="24"/>
      <c r="F906" s="22"/>
      <c r="G906" s="23"/>
      <c r="H906" s="24"/>
      <c r="J906" s="18" t="str">
        <f aca="false">IF(F906="","",F906*G906)</f>
        <v/>
      </c>
      <c r="K906" s="5" t="str">
        <f aca="false">IF(A906="","",IF(H906&lt;&gt;"",Assumptions!$D$5-H906,IF(C906="","",Assumptions!$D$5-(C906+Assumptions!$B$8))))</f>
        <v/>
      </c>
      <c r="L906" s="5" t="str">
        <f aca="false">IF(K906="","",IF(K906&lt;0,"Phase 1 (unliquidated)",IF(K906&lt;=Assumptions!$B$7,"Phase 1 (recently liquidated)",IF(K906&lt;=Assumptions!$B$6,"Protest required","Deadline passed — litigation only"))))</f>
        <v/>
      </c>
      <c r="M906" s="20" t="str">
        <f aca="false">IF(K906="","",IF(H906&lt;&gt;"",H906+Assumptions!$B$6,C906+Assumptions!$B$8+Assumptions!$B$6))</f>
        <v/>
      </c>
      <c r="N906" s="20" t="str">
        <f aca="false">IF(K906="","",IF(K906&lt;0,IF(H906&lt;&gt;"",H906+Assumptions!$B$7,C906+Assumptions!$B$8+Assumptions!$B$7),M906))</f>
        <v/>
      </c>
      <c r="O906" s="21" t="str">
        <f aca="false">IF(N906="","",N906-Assumptions!$D$5)</f>
        <v/>
      </c>
      <c r="P906" s="22"/>
      <c r="Q906" s="22"/>
      <c r="R906" s="18" t="str">
        <f aca="false">IF(Q906="","",Q906*IF(LEFT(L906,7)="Phase 1",Assumptions!$B$11,Assumptions!$B$12))</f>
        <v/>
      </c>
    </row>
    <row r="907" customFormat="false" ht="15" hidden="false" customHeight="true" outlineLevel="0" collapsed="false">
      <c r="C907" s="24"/>
      <c r="F907" s="22"/>
      <c r="G907" s="23"/>
      <c r="H907" s="24"/>
      <c r="J907" s="18" t="str">
        <f aca="false">IF(F907="","",F907*G907)</f>
        <v/>
      </c>
      <c r="K907" s="5" t="str">
        <f aca="false">IF(A907="","",IF(H907&lt;&gt;"",Assumptions!$D$5-H907,IF(C907="","",Assumptions!$D$5-(C907+Assumptions!$B$8))))</f>
        <v/>
      </c>
      <c r="L907" s="5" t="str">
        <f aca="false">IF(K907="","",IF(K907&lt;0,"Phase 1 (unliquidated)",IF(K907&lt;=Assumptions!$B$7,"Phase 1 (recently liquidated)",IF(K907&lt;=Assumptions!$B$6,"Protest required","Deadline passed — litigation only"))))</f>
        <v/>
      </c>
      <c r="M907" s="20" t="str">
        <f aca="false">IF(K907="","",IF(H907&lt;&gt;"",H907+Assumptions!$B$6,C907+Assumptions!$B$8+Assumptions!$B$6))</f>
        <v/>
      </c>
      <c r="N907" s="20" t="str">
        <f aca="false">IF(K907="","",IF(K907&lt;0,IF(H907&lt;&gt;"",H907+Assumptions!$B$7,C907+Assumptions!$B$8+Assumptions!$B$7),M907))</f>
        <v/>
      </c>
      <c r="O907" s="21" t="str">
        <f aca="false">IF(N907="","",N907-Assumptions!$D$5)</f>
        <v/>
      </c>
      <c r="P907" s="22"/>
      <c r="Q907" s="22"/>
      <c r="R907" s="18" t="str">
        <f aca="false">IF(Q907="","",Q907*IF(LEFT(L907,7)="Phase 1",Assumptions!$B$11,Assumptions!$B$12))</f>
        <v/>
      </c>
    </row>
    <row r="908" customFormat="false" ht="15" hidden="false" customHeight="true" outlineLevel="0" collapsed="false">
      <c r="C908" s="24"/>
      <c r="F908" s="22"/>
      <c r="G908" s="23"/>
      <c r="H908" s="24"/>
      <c r="J908" s="18" t="str">
        <f aca="false">IF(F908="","",F908*G908)</f>
        <v/>
      </c>
      <c r="K908" s="5" t="str">
        <f aca="false">IF(A908="","",IF(H908&lt;&gt;"",Assumptions!$D$5-H908,IF(C908="","",Assumptions!$D$5-(C908+Assumptions!$B$8))))</f>
        <v/>
      </c>
      <c r="L908" s="5" t="str">
        <f aca="false">IF(K908="","",IF(K908&lt;0,"Phase 1 (unliquidated)",IF(K908&lt;=Assumptions!$B$7,"Phase 1 (recently liquidated)",IF(K908&lt;=Assumptions!$B$6,"Protest required","Deadline passed — litigation only"))))</f>
        <v/>
      </c>
      <c r="M908" s="20" t="str">
        <f aca="false">IF(K908="","",IF(H908&lt;&gt;"",H908+Assumptions!$B$6,C908+Assumptions!$B$8+Assumptions!$B$6))</f>
        <v/>
      </c>
      <c r="N908" s="20" t="str">
        <f aca="false">IF(K908="","",IF(K908&lt;0,IF(H908&lt;&gt;"",H908+Assumptions!$B$7,C908+Assumptions!$B$8+Assumptions!$B$7),M908))</f>
        <v/>
      </c>
      <c r="O908" s="21" t="str">
        <f aca="false">IF(N908="","",N908-Assumptions!$D$5)</f>
        <v/>
      </c>
      <c r="P908" s="22"/>
      <c r="Q908" s="22"/>
      <c r="R908" s="18" t="str">
        <f aca="false">IF(Q908="","",Q908*IF(LEFT(L908,7)="Phase 1",Assumptions!$B$11,Assumptions!$B$12))</f>
        <v/>
      </c>
    </row>
    <row r="909" customFormat="false" ht="15" hidden="false" customHeight="true" outlineLevel="0" collapsed="false">
      <c r="C909" s="24"/>
      <c r="F909" s="22"/>
      <c r="G909" s="23"/>
      <c r="H909" s="24"/>
      <c r="J909" s="18" t="str">
        <f aca="false">IF(F909="","",F909*G909)</f>
        <v/>
      </c>
      <c r="K909" s="5" t="str">
        <f aca="false">IF(A909="","",IF(H909&lt;&gt;"",Assumptions!$D$5-H909,IF(C909="","",Assumptions!$D$5-(C909+Assumptions!$B$8))))</f>
        <v/>
      </c>
      <c r="L909" s="5" t="str">
        <f aca="false">IF(K909="","",IF(K909&lt;0,"Phase 1 (unliquidated)",IF(K909&lt;=Assumptions!$B$7,"Phase 1 (recently liquidated)",IF(K909&lt;=Assumptions!$B$6,"Protest required","Deadline passed — litigation only"))))</f>
        <v/>
      </c>
      <c r="M909" s="20" t="str">
        <f aca="false">IF(K909="","",IF(H909&lt;&gt;"",H909+Assumptions!$B$6,C909+Assumptions!$B$8+Assumptions!$B$6))</f>
        <v/>
      </c>
      <c r="N909" s="20" t="str">
        <f aca="false">IF(K909="","",IF(K909&lt;0,IF(H909&lt;&gt;"",H909+Assumptions!$B$7,C909+Assumptions!$B$8+Assumptions!$B$7),M909))</f>
        <v/>
      </c>
      <c r="O909" s="21" t="str">
        <f aca="false">IF(N909="","",N909-Assumptions!$D$5)</f>
        <v/>
      </c>
      <c r="P909" s="22"/>
      <c r="Q909" s="22"/>
      <c r="R909" s="18" t="str">
        <f aca="false">IF(Q909="","",Q909*IF(LEFT(L909,7)="Phase 1",Assumptions!$B$11,Assumptions!$B$12))</f>
        <v/>
      </c>
    </row>
    <row r="910" customFormat="false" ht="15" hidden="false" customHeight="true" outlineLevel="0" collapsed="false">
      <c r="C910" s="24"/>
      <c r="F910" s="22"/>
      <c r="G910" s="23"/>
      <c r="H910" s="24"/>
      <c r="J910" s="18" t="str">
        <f aca="false">IF(F910="","",F910*G910)</f>
        <v/>
      </c>
      <c r="K910" s="5" t="str">
        <f aca="false">IF(A910="","",IF(H910&lt;&gt;"",Assumptions!$D$5-H910,IF(C910="","",Assumptions!$D$5-(C910+Assumptions!$B$8))))</f>
        <v/>
      </c>
      <c r="L910" s="5" t="str">
        <f aca="false">IF(K910="","",IF(K910&lt;0,"Phase 1 (unliquidated)",IF(K910&lt;=Assumptions!$B$7,"Phase 1 (recently liquidated)",IF(K910&lt;=Assumptions!$B$6,"Protest required","Deadline passed — litigation only"))))</f>
        <v/>
      </c>
      <c r="M910" s="20" t="str">
        <f aca="false">IF(K910="","",IF(H910&lt;&gt;"",H910+Assumptions!$B$6,C910+Assumptions!$B$8+Assumptions!$B$6))</f>
        <v/>
      </c>
      <c r="N910" s="20" t="str">
        <f aca="false">IF(K910="","",IF(K910&lt;0,IF(H910&lt;&gt;"",H910+Assumptions!$B$7,C910+Assumptions!$B$8+Assumptions!$B$7),M910))</f>
        <v/>
      </c>
      <c r="O910" s="21" t="str">
        <f aca="false">IF(N910="","",N910-Assumptions!$D$5)</f>
        <v/>
      </c>
      <c r="P910" s="22"/>
      <c r="Q910" s="22"/>
      <c r="R910" s="18" t="str">
        <f aca="false">IF(Q910="","",Q910*IF(LEFT(L910,7)="Phase 1",Assumptions!$B$11,Assumptions!$B$12))</f>
        <v/>
      </c>
    </row>
    <row r="911" customFormat="false" ht="15" hidden="false" customHeight="true" outlineLevel="0" collapsed="false">
      <c r="C911" s="24"/>
      <c r="F911" s="22"/>
      <c r="G911" s="23"/>
      <c r="H911" s="24"/>
      <c r="J911" s="18" t="str">
        <f aca="false">IF(F911="","",F911*G911)</f>
        <v/>
      </c>
      <c r="K911" s="5" t="str">
        <f aca="false">IF(A911="","",IF(H911&lt;&gt;"",Assumptions!$D$5-H911,IF(C911="","",Assumptions!$D$5-(C911+Assumptions!$B$8))))</f>
        <v/>
      </c>
      <c r="L911" s="5" t="str">
        <f aca="false">IF(K911="","",IF(K911&lt;0,"Phase 1 (unliquidated)",IF(K911&lt;=Assumptions!$B$7,"Phase 1 (recently liquidated)",IF(K911&lt;=Assumptions!$B$6,"Protest required","Deadline passed — litigation only"))))</f>
        <v/>
      </c>
      <c r="M911" s="20" t="str">
        <f aca="false">IF(K911="","",IF(H911&lt;&gt;"",H911+Assumptions!$B$6,C911+Assumptions!$B$8+Assumptions!$B$6))</f>
        <v/>
      </c>
      <c r="N911" s="20" t="str">
        <f aca="false">IF(K911="","",IF(K911&lt;0,IF(H911&lt;&gt;"",H911+Assumptions!$B$7,C911+Assumptions!$B$8+Assumptions!$B$7),M911))</f>
        <v/>
      </c>
      <c r="O911" s="21" t="str">
        <f aca="false">IF(N911="","",N911-Assumptions!$D$5)</f>
        <v/>
      </c>
      <c r="P911" s="22"/>
      <c r="Q911" s="22"/>
      <c r="R911" s="18" t="str">
        <f aca="false">IF(Q911="","",Q911*IF(LEFT(L911,7)="Phase 1",Assumptions!$B$11,Assumptions!$B$12))</f>
        <v/>
      </c>
    </row>
    <row r="912" customFormat="false" ht="15" hidden="false" customHeight="true" outlineLevel="0" collapsed="false">
      <c r="C912" s="24"/>
      <c r="F912" s="22"/>
      <c r="G912" s="23"/>
      <c r="H912" s="24"/>
      <c r="J912" s="18" t="str">
        <f aca="false">IF(F912="","",F912*G912)</f>
        <v/>
      </c>
      <c r="K912" s="5" t="str">
        <f aca="false">IF(A912="","",IF(H912&lt;&gt;"",Assumptions!$D$5-H912,IF(C912="","",Assumptions!$D$5-(C912+Assumptions!$B$8))))</f>
        <v/>
      </c>
      <c r="L912" s="5" t="str">
        <f aca="false">IF(K912="","",IF(K912&lt;0,"Phase 1 (unliquidated)",IF(K912&lt;=Assumptions!$B$7,"Phase 1 (recently liquidated)",IF(K912&lt;=Assumptions!$B$6,"Protest required","Deadline passed — litigation only"))))</f>
        <v/>
      </c>
      <c r="M912" s="20" t="str">
        <f aca="false">IF(K912="","",IF(H912&lt;&gt;"",H912+Assumptions!$B$6,C912+Assumptions!$B$8+Assumptions!$B$6))</f>
        <v/>
      </c>
      <c r="N912" s="20" t="str">
        <f aca="false">IF(K912="","",IF(K912&lt;0,IF(H912&lt;&gt;"",H912+Assumptions!$B$7,C912+Assumptions!$B$8+Assumptions!$B$7),M912))</f>
        <v/>
      </c>
      <c r="O912" s="21" t="str">
        <f aca="false">IF(N912="","",N912-Assumptions!$D$5)</f>
        <v/>
      </c>
      <c r="P912" s="22"/>
      <c r="Q912" s="22"/>
      <c r="R912" s="18" t="str">
        <f aca="false">IF(Q912="","",Q912*IF(LEFT(L912,7)="Phase 1",Assumptions!$B$11,Assumptions!$B$12))</f>
        <v/>
      </c>
    </row>
    <row r="913" customFormat="false" ht="15" hidden="false" customHeight="true" outlineLevel="0" collapsed="false">
      <c r="C913" s="24"/>
      <c r="F913" s="22"/>
      <c r="G913" s="23"/>
      <c r="H913" s="24"/>
      <c r="J913" s="18" t="str">
        <f aca="false">IF(F913="","",F913*G913)</f>
        <v/>
      </c>
      <c r="K913" s="5" t="str">
        <f aca="false">IF(A913="","",IF(H913&lt;&gt;"",Assumptions!$D$5-H913,IF(C913="","",Assumptions!$D$5-(C913+Assumptions!$B$8))))</f>
        <v/>
      </c>
      <c r="L913" s="5" t="str">
        <f aca="false">IF(K913="","",IF(K913&lt;0,"Phase 1 (unliquidated)",IF(K913&lt;=Assumptions!$B$7,"Phase 1 (recently liquidated)",IF(K913&lt;=Assumptions!$B$6,"Protest required","Deadline passed — litigation only"))))</f>
        <v/>
      </c>
      <c r="M913" s="20" t="str">
        <f aca="false">IF(K913="","",IF(H913&lt;&gt;"",H913+Assumptions!$B$6,C913+Assumptions!$B$8+Assumptions!$B$6))</f>
        <v/>
      </c>
      <c r="N913" s="20" t="str">
        <f aca="false">IF(K913="","",IF(K913&lt;0,IF(H913&lt;&gt;"",H913+Assumptions!$B$7,C913+Assumptions!$B$8+Assumptions!$B$7),M913))</f>
        <v/>
      </c>
      <c r="O913" s="21" t="str">
        <f aca="false">IF(N913="","",N913-Assumptions!$D$5)</f>
        <v/>
      </c>
      <c r="P913" s="22"/>
      <c r="Q913" s="22"/>
      <c r="R913" s="18" t="str">
        <f aca="false">IF(Q913="","",Q913*IF(LEFT(L913,7)="Phase 1",Assumptions!$B$11,Assumptions!$B$12))</f>
        <v/>
      </c>
    </row>
    <row r="914" customFormat="false" ht="15" hidden="false" customHeight="true" outlineLevel="0" collapsed="false">
      <c r="C914" s="24"/>
      <c r="F914" s="22"/>
      <c r="G914" s="23"/>
      <c r="H914" s="24"/>
      <c r="J914" s="18" t="str">
        <f aca="false">IF(F914="","",F914*G914)</f>
        <v/>
      </c>
      <c r="K914" s="5" t="str">
        <f aca="false">IF(A914="","",IF(H914&lt;&gt;"",Assumptions!$D$5-H914,IF(C914="","",Assumptions!$D$5-(C914+Assumptions!$B$8))))</f>
        <v/>
      </c>
      <c r="L914" s="5" t="str">
        <f aca="false">IF(K914="","",IF(K914&lt;0,"Phase 1 (unliquidated)",IF(K914&lt;=Assumptions!$B$7,"Phase 1 (recently liquidated)",IF(K914&lt;=Assumptions!$B$6,"Protest required","Deadline passed — litigation only"))))</f>
        <v/>
      </c>
      <c r="M914" s="20" t="str">
        <f aca="false">IF(K914="","",IF(H914&lt;&gt;"",H914+Assumptions!$B$6,C914+Assumptions!$B$8+Assumptions!$B$6))</f>
        <v/>
      </c>
      <c r="N914" s="20" t="str">
        <f aca="false">IF(K914="","",IF(K914&lt;0,IF(H914&lt;&gt;"",H914+Assumptions!$B$7,C914+Assumptions!$B$8+Assumptions!$B$7),M914))</f>
        <v/>
      </c>
      <c r="O914" s="21" t="str">
        <f aca="false">IF(N914="","",N914-Assumptions!$D$5)</f>
        <v/>
      </c>
      <c r="P914" s="22"/>
      <c r="Q914" s="22"/>
      <c r="R914" s="18" t="str">
        <f aca="false">IF(Q914="","",Q914*IF(LEFT(L914,7)="Phase 1",Assumptions!$B$11,Assumptions!$B$12))</f>
        <v/>
      </c>
    </row>
    <row r="915" customFormat="false" ht="15" hidden="false" customHeight="true" outlineLevel="0" collapsed="false">
      <c r="C915" s="24"/>
      <c r="F915" s="22"/>
      <c r="G915" s="23"/>
      <c r="H915" s="24"/>
      <c r="J915" s="18" t="str">
        <f aca="false">IF(F915="","",F915*G915)</f>
        <v/>
      </c>
      <c r="K915" s="5" t="str">
        <f aca="false">IF(A915="","",IF(H915&lt;&gt;"",Assumptions!$D$5-H915,IF(C915="","",Assumptions!$D$5-(C915+Assumptions!$B$8))))</f>
        <v/>
      </c>
      <c r="L915" s="5" t="str">
        <f aca="false">IF(K915="","",IF(K915&lt;0,"Phase 1 (unliquidated)",IF(K915&lt;=Assumptions!$B$7,"Phase 1 (recently liquidated)",IF(K915&lt;=Assumptions!$B$6,"Protest required","Deadline passed — litigation only"))))</f>
        <v/>
      </c>
      <c r="M915" s="20" t="str">
        <f aca="false">IF(K915="","",IF(H915&lt;&gt;"",H915+Assumptions!$B$6,C915+Assumptions!$B$8+Assumptions!$B$6))</f>
        <v/>
      </c>
      <c r="N915" s="20" t="str">
        <f aca="false">IF(K915="","",IF(K915&lt;0,IF(H915&lt;&gt;"",H915+Assumptions!$B$7,C915+Assumptions!$B$8+Assumptions!$B$7),M915))</f>
        <v/>
      </c>
      <c r="O915" s="21" t="str">
        <f aca="false">IF(N915="","",N915-Assumptions!$D$5)</f>
        <v/>
      </c>
      <c r="P915" s="22"/>
      <c r="Q915" s="22"/>
      <c r="R915" s="18" t="str">
        <f aca="false">IF(Q915="","",Q915*IF(LEFT(L915,7)="Phase 1",Assumptions!$B$11,Assumptions!$B$12))</f>
        <v/>
      </c>
    </row>
    <row r="916" customFormat="false" ht="15" hidden="false" customHeight="true" outlineLevel="0" collapsed="false">
      <c r="C916" s="24"/>
      <c r="F916" s="22"/>
      <c r="G916" s="23"/>
      <c r="H916" s="24"/>
      <c r="J916" s="18" t="str">
        <f aca="false">IF(F916="","",F916*G916)</f>
        <v/>
      </c>
      <c r="K916" s="5" t="str">
        <f aca="false">IF(A916="","",IF(H916&lt;&gt;"",Assumptions!$D$5-H916,IF(C916="","",Assumptions!$D$5-(C916+Assumptions!$B$8))))</f>
        <v/>
      </c>
      <c r="L916" s="5" t="str">
        <f aca="false">IF(K916="","",IF(K916&lt;0,"Phase 1 (unliquidated)",IF(K916&lt;=Assumptions!$B$7,"Phase 1 (recently liquidated)",IF(K916&lt;=Assumptions!$B$6,"Protest required","Deadline passed — litigation only"))))</f>
        <v/>
      </c>
      <c r="M916" s="20" t="str">
        <f aca="false">IF(K916="","",IF(H916&lt;&gt;"",H916+Assumptions!$B$6,C916+Assumptions!$B$8+Assumptions!$B$6))</f>
        <v/>
      </c>
      <c r="N916" s="20" t="str">
        <f aca="false">IF(K916="","",IF(K916&lt;0,IF(H916&lt;&gt;"",H916+Assumptions!$B$7,C916+Assumptions!$B$8+Assumptions!$B$7),M916))</f>
        <v/>
      </c>
      <c r="O916" s="21" t="str">
        <f aca="false">IF(N916="","",N916-Assumptions!$D$5)</f>
        <v/>
      </c>
      <c r="P916" s="22"/>
      <c r="Q916" s="22"/>
      <c r="R916" s="18" t="str">
        <f aca="false">IF(Q916="","",Q916*IF(LEFT(L916,7)="Phase 1",Assumptions!$B$11,Assumptions!$B$12))</f>
        <v/>
      </c>
    </row>
    <row r="917" customFormat="false" ht="15" hidden="false" customHeight="true" outlineLevel="0" collapsed="false">
      <c r="C917" s="24"/>
      <c r="F917" s="22"/>
      <c r="G917" s="23"/>
      <c r="H917" s="24"/>
      <c r="J917" s="18" t="str">
        <f aca="false">IF(F917="","",F917*G917)</f>
        <v/>
      </c>
      <c r="K917" s="5" t="str">
        <f aca="false">IF(A917="","",IF(H917&lt;&gt;"",Assumptions!$D$5-H917,IF(C917="","",Assumptions!$D$5-(C917+Assumptions!$B$8))))</f>
        <v/>
      </c>
      <c r="L917" s="5" t="str">
        <f aca="false">IF(K917="","",IF(K917&lt;0,"Phase 1 (unliquidated)",IF(K917&lt;=Assumptions!$B$7,"Phase 1 (recently liquidated)",IF(K917&lt;=Assumptions!$B$6,"Protest required","Deadline passed — litigation only"))))</f>
        <v/>
      </c>
      <c r="M917" s="20" t="str">
        <f aca="false">IF(K917="","",IF(H917&lt;&gt;"",H917+Assumptions!$B$6,C917+Assumptions!$B$8+Assumptions!$B$6))</f>
        <v/>
      </c>
      <c r="N917" s="20" t="str">
        <f aca="false">IF(K917="","",IF(K917&lt;0,IF(H917&lt;&gt;"",H917+Assumptions!$B$7,C917+Assumptions!$B$8+Assumptions!$B$7),M917))</f>
        <v/>
      </c>
      <c r="O917" s="21" t="str">
        <f aca="false">IF(N917="","",N917-Assumptions!$D$5)</f>
        <v/>
      </c>
      <c r="P917" s="22"/>
      <c r="Q917" s="22"/>
      <c r="R917" s="18" t="str">
        <f aca="false">IF(Q917="","",Q917*IF(LEFT(L917,7)="Phase 1",Assumptions!$B$11,Assumptions!$B$12))</f>
        <v/>
      </c>
    </row>
    <row r="918" customFormat="false" ht="15" hidden="false" customHeight="true" outlineLevel="0" collapsed="false">
      <c r="C918" s="24"/>
      <c r="F918" s="22"/>
      <c r="G918" s="23"/>
      <c r="H918" s="24"/>
      <c r="J918" s="18" t="str">
        <f aca="false">IF(F918="","",F918*G918)</f>
        <v/>
      </c>
      <c r="K918" s="5" t="str">
        <f aca="false">IF(A918="","",IF(H918&lt;&gt;"",Assumptions!$D$5-H918,IF(C918="","",Assumptions!$D$5-(C918+Assumptions!$B$8))))</f>
        <v/>
      </c>
      <c r="L918" s="5" t="str">
        <f aca="false">IF(K918="","",IF(K918&lt;0,"Phase 1 (unliquidated)",IF(K918&lt;=Assumptions!$B$7,"Phase 1 (recently liquidated)",IF(K918&lt;=Assumptions!$B$6,"Protest required","Deadline passed — litigation only"))))</f>
        <v/>
      </c>
      <c r="M918" s="20" t="str">
        <f aca="false">IF(K918="","",IF(H918&lt;&gt;"",H918+Assumptions!$B$6,C918+Assumptions!$B$8+Assumptions!$B$6))</f>
        <v/>
      </c>
      <c r="N918" s="20" t="str">
        <f aca="false">IF(K918="","",IF(K918&lt;0,IF(H918&lt;&gt;"",H918+Assumptions!$B$7,C918+Assumptions!$B$8+Assumptions!$B$7),M918))</f>
        <v/>
      </c>
      <c r="O918" s="21" t="str">
        <f aca="false">IF(N918="","",N918-Assumptions!$D$5)</f>
        <v/>
      </c>
      <c r="P918" s="22"/>
      <c r="Q918" s="22"/>
      <c r="R918" s="18" t="str">
        <f aca="false">IF(Q918="","",Q918*IF(LEFT(L918,7)="Phase 1",Assumptions!$B$11,Assumptions!$B$12))</f>
        <v/>
      </c>
    </row>
    <row r="919" customFormat="false" ht="15" hidden="false" customHeight="true" outlineLevel="0" collapsed="false">
      <c r="C919" s="24"/>
      <c r="F919" s="22"/>
      <c r="G919" s="23"/>
      <c r="H919" s="24"/>
      <c r="J919" s="18" t="str">
        <f aca="false">IF(F919="","",F919*G919)</f>
        <v/>
      </c>
      <c r="K919" s="5" t="str">
        <f aca="false">IF(A919="","",IF(H919&lt;&gt;"",Assumptions!$D$5-H919,IF(C919="","",Assumptions!$D$5-(C919+Assumptions!$B$8))))</f>
        <v/>
      </c>
      <c r="L919" s="5" t="str">
        <f aca="false">IF(K919="","",IF(K919&lt;0,"Phase 1 (unliquidated)",IF(K919&lt;=Assumptions!$B$7,"Phase 1 (recently liquidated)",IF(K919&lt;=Assumptions!$B$6,"Protest required","Deadline passed — litigation only"))))</f>
        <v/>
      </c>
      <c r="M919" s="20" t="str">
        <f aca="false">IF(K919="","",IF(H919&lt;&gt;"",H919+Assumptions!$B$6,C919+Assumptions!$B$8+Assumptions!$B$6))</f>
        <v/>
      </c>
      <c r="N919" s="20" t="str">
        <f aca="false">IF(K919="","",IF(K919&lt;0,IF(H919&lt;&gt;"",H919+Assumptions!$B$7,C919+Assumptions!$B$8+Assumptions!$B$7),M919))</f>
        <v/>
      </c>
      <c r="O919" s="21" t="str">
        <f aca="false">IF(N919="","",N919-Assumptions!$D$5)</f>
        <v/>
      </c>
      <c r="P919" s="22"/>
      <c r="Q919" s="22"/>
      <c r="R919" s="18" t="str">
        <f aca="false">IF(Q919="","",Q919*IF(LEFT(L919,7)="Phase 1",Assumptions!$B$11,Assumptions!$B$12))</f>
        <v/>
      </c>
    </row>
    <row r="920" customFormat="false" ht="15" hidden="false" customHeight="true" outlineLevel="0" collapsed="false">
      <c r="C920" s="24"/>
      <c r="F920" s="22"/>
      <c r="G920" s="23"/>
      <c r="H920" s="24"/>
      <c r="J920" s="18" t="str">
        <f aca="false">IF(F920="","",F920*G920)</f>
        <v/>
      </c>
      <c r="K920" s="5" t="str">
        <f aca="false">IF(A920="","",IF(H920&lt;&gt;"",Assumptions!$D$5-H920,IF(C920="","",Assumptions!$D$5-(C920+Assumptions!$B$8))))</f>
        <v/>
      </c>
      <c r="L920" s="5" t="str">
        <f aca="false">IF(K920="","",IF(K920&lt;0,"Phase 1 (unliquidated)",IF(K920&lt;=Assumptions!$B$7,"Phase 1 (recently liquidated)",IF(K920&lt;=Assumptions!$B$6,"Protest required","Deadline passed — litigation only"))))</f>
        <v/>
      </c>
      <c r="M920" s="20" t="str">
        <f aca="false">IF(K920="","",IF(H920&lt;&gt;"",H920+Assumptions!$B$6,C920+Assumptions!$B$8+Assumptions!$B$6))</f>
        <v/>
      </c>
      <c r="N920" s="20" t="str">
        <f aca="false">IF(K920="","",IF(K920&lt;0,IF(H920&lt;&gt;"",H920+Assumptions!$B$7,C920+Assumptions!$B$8+Assumptions!$B$7),M920))</f>
        <v/>
      </c>
      <c r="O920" s="21" t="str">
        <f aca="false">IF(N920="","",N920-Assumptions!$D$5)</f>
        <v/>
      </c>
      <c r="P920" s="22"/>
      <c r="Q920" s="22"/>
      <c r="R920" s="18" t="str">
        <f aca="false">IF(Q920="","",Q920*IF(LEFT(L920,7)="Phase 1",Assumptions!$B$11,Assumptions!$B$12))</f>
        <v/>
      </c>
    </row>
    <row r="921" customFormat="false" ht="15" hidden="false" customHeight="true" outlineLevel="0" collapsed="false">
      <c r="C921" s="24"/>
      <c r="F921" s="22"/>
      <c r="G921" s="23"/>
      <c r="H921" s="24"/>
      <c r="J921" s="18" t="str">
        <f aca="false">IF(F921="","",F921*G921)</f>
        <v/>
      </c>
      <c r="K921" s="5" t="str">
        <f aca="false">IF(A921="","",IF(H921&lt;&gt;"",Assumptions!$D$5-H921,IF(C921="","",Assumptions!$D$5-(C921+Assumptions!$B$8))))</f>
        <v/>
      </c>
      <c r="L921" s="5" t="str">
        <f aca="false">IF(K921="","",IF(K921&lt;0,"Phase 1 (unliquidated)",IF(K921&lt;=Assumptions!$B$7,"Phase 1 (recently liquidated)",IF(K921&lt;=Assumptions!$B$6,"Protest required","Deadline passed — litigation only"))))</f>
        <v/>
      </c>
      <c r="M921" s="20" t="str">
        <f aca="false">IF(K921="","",IF(H921&lt;&gt;"",H921+Assumptions!$B$6,C921+Assumptions!$B$8+Assumptions!$B$6))</f>
        <v/>
      </c>
      <c r="N921" s="20" t="str">
        <f aca="false">IF(K921="","",IF(K921&lt;0,IF(H921&lt;&gt;"",H921+Assumptions!$B$7,C921+Assumptions!$B$8+Assumptions!$B$7),M921))</f>
        <v/>
      </c>
      <c r="O921" s="21" t="str">
        <f aca="false">IF(N921="","",N921-Assumptions!$D$5)</f>
        <v/>
      </c>
      <c r="P921" s="22"/>
      <c r="Q921" s="22"/>
      <c r="R921" s="18" t="str">
        <f aca="false">IF(Q921="","",Q921*IF(LEFT(L921,7)="Phase 1",Assumptions!$B$11,Assumptions!$B$12))</f>
        <v/>
      </c>
    </row>
    <row r="922" customFormat="false" ht="15" hidden="false" customHeight="true" outlineLevel="0" collapsed="false">
      <c r="C922" s="24"/>
      <c r="F922" s="22"/>
      <c r="G922" s="23"/>
      <c r="H922" s="24"/>
      <c r="J922" s="18" t="str">
        <f aca="false">IF(F922="","",F922*G922)</f>
        <v/>
      </c>
      <c r="K922" s="5" t="str">
        <f aca="false">IF(A922="","",IF(H922&lt;&gt;"",Assumptions!$D$5-H922,IF(C922="","",Assumptions!$D$5-(C922+Assumptions!$B$8))))</f>
        <v/>
      </c>
      <c r="L922" s="5" t="str">
        <f aca="false">IF(K922="","",IF(K922&lt;0,"Phase 1 (unliquidated)",IF(K922&lt;=Assumptions!$B$7,"Phase 1 (recently liquidated)",IF(K922&lt;=Assumptions!$B$6,"Protest required","Deadline passed — litigation only"))))</f>
        <v/>
      </c>
      <c r="M922" s="20" t="str">
        <f aca="false">IF(K922="","",IF(H922&lt;&gt;"",H922+Assumptions!$B$6,C922+Assumptions!$B$8+Assumptions!$B$6))</f>
        <v/>
      </c>
      <c r="N922" s="20" t="str">
        <f aca="false">IF(K922="","",IF(K922&lt;0,IF(H922&lt;&gt;"",H922+Assumptions!$B$7,C922+Assumptions!$B$8+Assumptions!$B$7),M922))</f>
        <v/>
      </c>
      <c r="O922" s="21" t="str">
        <f aca="false">IF(N922="","",N922-Assumptions!$D$5)</f>
        <v/>
      </c>
      <c r="P922" s="22"/>
      <c r="Q922" s="22"/>
      <c r="R922" s="18" t="str">
        <f aca="false">IF(Q922="","",Q922*IF(LEFT(L922,7)="Phase 1",Assumptions!$B$11,Assumptions!$B$12))</f>
        <v/>
      </c>
    </row>
    <row r="923" customFormat="false" ht="15" hidden="false" customHeight="true" outlineLevel="0" collapsed="false">
      <c r="C923" s="24"/>
      <c r="F923" s="22"/>
      <c r="G923" s="23"/>
      <c r="H923" s="24"/>
      <c r="J923" s="18" t="str">
        <f aca="false">IF(F923="","",F923*G923)</f>
        <v/>
      </c>
      <c r="K923" s="5" t="str">
        <f aca="false">IF(A923="","",IF(H923&lt;&gt;"",Assumptions!$D$5-H923,IF(C923="","",Assumptions!$D$5-(C923+Assumptions!$B$8))))</f>
        <v/>
      </c>
      <c r="L923" s="5" t="str">
        <f aca="false">IF(K923="","",IF(K923&lt;0,"Phase 1 (unliquidated)",IF(K923&lt;=Assumptions!$B$7,"Phase 1 (recently liquidated)",IF(K923&lt;=Assumptions!$B$6,"Protest required","Deadline passed — litigation only"))))</f>
        <v/>
      </c>
      <c r="M923" s="20" t="str">
        <f aca="false">IF(K923="","",IF(H923&lt;&gt;"",H923+Assumptions!$B$6,C923+Assumptions!$B$8+Assumptions!$B$6))</f>
        <v/>
      </c>
      <c r="N923" s="20" t="str">
        <f aca="false">IF(K923="","",IF(K923&lt;0,IF(H923&lt;&gt;"",H923+Assumptions!$B$7,C923+Assumptions!$B$8+Assumptions!$B$7),M923))</f>
        <v/>
      </c>
      <c r="O923" s="21" t="str">
        <f aca="false">IF(N923="","",N923-Assumptions!$D$5)</f>
        <v/>
      </c>
      <c r="P923" s="22"/>
      <c r="Q923" s="22"/>
      <c r="R923" s="18" t="str">
        <f aca="false">IF(Q923="","",Q923*IF(LEFT(L923,7)="Phase 1",Assumptions!$B$11,Assumptions!$B$12))</f>
        <v/>
      </c>
    </row>
    <row r="924" customFormat="false" ht="15" hidden="false" customHeight="true" outlineLevel="0" collapsed="false">
      <c r="C924" s="24"/>
      <c r="F924" s="22"/>
      <c r="G924" s="23"/>
      <c r="H924" s="24"/>
      <c r="J924" s="18" t="str">
        <f aca="false">IF(F924="","",F924*G924)</f>
        <v/>
      </c>
      <c r="K924" s="5" t="str">
        <f aca="false">IF(A924="","",IF(H924&lt;&gt;"",Assumptions!$D$5-H924,IF(C924="","",Assumptions!$D$5-(C924+Assumptions!$B$8))))</f>
        <v/>
      </c>
      <c r="L924" s="5" t="str">
        <f aca="false">IF(K924="","",IF(K924&lt;0,"Phase 1 (unliquidated)",IF(K924&lt;=Assumptions!$B$7,"Phase 1 (recently liquidated)",IF(K924&lt;=Assumptions!$B$6,"Protest required","Deadline passed — litigation only"))))</f>
        <v/>
      </c>
      <c r="M924" s="20" t="str">
        <f aca="false">IF(K924="","",IF(H924&lt;&gt;"",H924+Assumptions!$B$6,C924+Assumptions!$B$8+Assumptions!$B$6))</f>
        <v/>
      </c>
      <c r="N924" s="20" t="str">
        <f aca="false">IF(K924="","",IF(K924&lt;0,IF(H924&lt;&gt;"",H924+Assumptions!$B$7,C924+Assumptions!$B$8+Assumptions!$B$7),M924))</f>
        <v/>
      </c>
      <c r="O924" s="21" t="str">
        <f aca="false">IF(N924="","",N924-Assumptions!$D$5)</f>
        <v/>
      </c>
      <c r="P924" s="22"/>
      <c r="Q924" s="22"/>
      <c r="R924" s="18" t="str">
        <f aca="false">IF(Q924="","",Q924*IF(LEFT(L924,7)="Phase 1",Assumptions!$B$11,Assumptions!$B$12))</f>
        <v/>
      </c>
    </row>
    <row r="925" customFormat="false" ht="15" hidden="false" customHeight="true" outlineLevel="0" collapsed="false">
      <c r="C925" s="24"/>
      <c r="F925" s="22"/>
      <c r="G925" s="23"/>
      <c r="H925" s="24"/>
      <c r="J925" s="18" t="str">
        <f aca="false">IF(F925="","",F925*G925)</f>
        <v/>
      </c>
      <c r="K925" s="5" t="str">
        <f aca="false">IF(A925="","",IF(H925&lt;&gt;"",Assumptions!$D$5-H925,IF(C925="","",Assumptions!$D$5-(C925+Assumptions!$B$8))))</f>
        <v/>
      </c>
      <c r="L925" s="5" t="str">
        <f aca="false">IF(K925="","",IF(K925&lt;0,"Phase 1 (unliquidated)",IF(K925&lt;=Assumptions!$B$7,"Phase 1 (recently liquidated)",IF(K925&lt;=Assumptions!$B$6,"Protest required","Deadline passed — litigation only"))))</f>
        <v/>
      </c>
      <c r="M925" s="20" t="str">
        <f aca="false">IF(K925="","",IF(H925&lt;&gt;"",H925+Assumptions!$B$6,C925+Assumptions!$B$8+Assumptions!$B$6))</f>
        <v/>
      </c>
      <c r="N925" s="20" t="str">
        <f aca="false">IF(K925="","",IF(K925&lt;0,IF(H925&lt;&gt;"",H925+Assumptions!$B$7,C925+Assumptions!$B$8+Assumptions!$B$7),M925))</f>
        <v/>
      </c>
      <c r="O925" s="21" t="str">
        <f aca="false">IF(N925="","",N925-Assumptions!$D$5)</f>
        <v/>
      </c>
      <c r="P925" s="22"/>
      <c r="Q925" s="22"/>
      <c r="R925" s="18" t="str">
        <f aca="false">IF(Q925="","",Q925*IF(LEFT(L925,7)="Phase 1",Assumptions!$B$11,Assumptions!$B$12))</f>
        <v/>
      </c>
    </row>
    <row r="926" customFormat="false" ht="15" hidden="false" customHeight="true" outlineLevel="0" collapsed="false">
      <c r="C926" s="24"/>
      <c r="F926" s="22"/>
      <c r="G926" s="23"/>
      <c r="H926" s="24"/>
      <c r="J926" s="18" t="str">
        <f aca="false">IF(F926="","",F926*G926)</f>
        <v/>
      </c>
      <c r="K926" s="5" t="str">
        <f aca="false">IF(A926="","",IF(H926&lt;&gt;"",Assumptions!$D$5-H926,IF(C926="","",Assumptions!$D$5-(C926+Assumptions!$B$8))))</f>
        <v/>
      </c>
      <c r="L926" s="5" t="str">
        <f aca="false">IF(K926="","",IF(K926&lt;0,"Phase 1 (unliquidated)",IF(K926&lt;=Assumptions!$B$7,"Phase 1 (recently liquidated)",IF(K926&lt;=Assumptions!$B$6,"Protest required","Deadline passed — litigation only"))))</f>
        <v/>
      </c>
      <c r="M926" s="20" t="str">
        <f aca="false">IF(K926="","",IF(H926&lt;&gt;"",H926+Assumptions!$B$6,C926+Assumptions!$B$8+Assumptions!$B$6))</f>
        <v/>
      </c>
      <c r="N926" s="20" t="str">
        <f aca="false">IF(K926="","",IF(K926&lt;0,IF(H926&lt;&gt;"",H926+Assumptions!$B$7,C926+Assumptions!$B$8+Assumptions!$B$7),M926))</f>
        <v/>
      </c>
      <c r="O926" s="21" t="str">
        <f aca="false">IF(N926="","",N926-Assumptions!$D$5)</f>
        <v/>
      </c>
      <c r="P926" s="22"/>
      <c r="Q926" s="22"/>
      <c r="R926" s="18" t="str">
        <f aca="false">IF(Q926="","",Q926*IF(LEFT(L926,7)="Phase 1",Assumptions!$B$11,Assumptions!$B$12))</f>
        <v/>
      </c>
    </row>
    <row r="927" customFormat="false" ht="15" hidden="false" customHeight="true" outlineLevel="0" collapsed="false">
      <c r="C927" s="24"/>
      <c r="F927" s="22"/>
      <c r="G927" s="23"/>
      <c r="H927" s="24"/>
      <c r="J927" s="18" t="str">
        <f aca="false">IF(F927="","",F927*G927)</f>
        <v/>
      </c>
      <c r="K927" s="5" t="str">
        <f aca="false">IF(A927="","",IF(H927&lt;&gt;"",Assumptions!$D$5-H927,IF(C927="","",Assumptions!$D$5-(C927+Assumptions!$B$8))))</f>
        <v/>
      </c>
      <c r="L927" s="5" t="str">
        <f aca="false">IF(K927="","",IF(K927&lt;0,"Phase 1 (unliquidated)",IF(K927&lt;=Assumptions!$B$7,"Phase 1 (recently liquidated)",IF(K927&lt;=Assumptions!$B$6,"Protest required","Deadline passed — litigation only"))))</f>
        <v/>
      </c>
      <c r="M927" s="20" t="str">
        <f aca="false">IF(K927="","",IF(H927&lt;&gt;"",H927+Assumptions!$B$6,C927+Assumptions!$B$8+Assumptions!$B$6))</f>
        <v/>
      </c>
      <c r="N927" s="20" t="str">
        <f aca="false">IF(K927="","",IF(K927&lt;0,IF(H927&lt;&gt;"",H927+Assumptions!$B$7,C927+Assumptions!$B$8+Assumptions!$B$7),M927))</f>
        <v/>
      </c>
      <c r="O927" s="21" t="str">
        <f aca="false">IF(N927="","",N927-Assumptions!$D$5)</f>
        <v/>
      </c>
      <c r="P927" s="22"/>
      <c r="Q927" s="22"/>
      <c r="R927" s="18" t="str">
        <f aca="false">IF(Q927="","",Q927*IF(LEFT(L927,7)="Phase 1",Assumptions!$B$11,Assumptions!$B$12))</f>
        <v/>
      </c>
    </row>
    <row r="928" customFormat="false" ht="15" hidden="false" customHeight="true" outlineLevel="0" collapsed="false">
      <c r="C928" s="24"/>
      <c r="F928" s="22"/>
      <c r="G928" s="23"/>
      <c r="H928" s="24"/>
      <c r="J928" s="18" t="str">
        <f aca="false">IF(F928="","",F928*G928)</f>
        <v/>
      </c>
      <c r="K928" s="5" t="str">
        <f aca="false">IF(A928="","",IF(H928&lt;&gt;"",Assumptions!$D$5-H928,IF(C928="","",Assumptions!$D$5-(C928+Assumptions!$B$8))))</f>
        <v/>
      </c>
      <c r="L928" s="5" t="str">
        <f aca="false">IF(K928="","",IF(K928&lt;0,"Phase 1 (unliquidated)",IF(K928&lt;=Assumptions!$B$7,"Phase 1 (recently liquidated)",IF(K928&lt;=Assumptions!$B$6,"Protest required","Deadline passed — litigation only"))))</f>
        <v/>
      </c>
      <c r="M928" s="20" t="str">
        <f aca="false">IF(K928="","",IF(H928&lt;&gt;"",H928+Assumptions!$B$6,C928+Assumptions!$B$8+Assumptions!$B$6))</f>
        <v/>
      </c>
      <c r="N928" s="20" t="str">
        <f aca="false">IF(K928="","",IF(K928&lt;0,IF(H928&lt;&gt;"",H928+Assumptions!$B$7,C928+Assumptions!$B$8+Assumptions!$B$7),M928))</f>
        <v/>
      </c>
      <c r="O928" s="21" t="str">
        <f aca="false">IF(N928="","",N928-Assumptions!$D$5)</f>
        <v/>
      </c>
      <c r="P928" s="22"/>
      <c r="Q928" s="22"/>
      <c r="R928" s="18" t="str">
        <f aca="false">IF(Q928="","",Q928*IF(LEFT(L928,7)="Phase 1",Assumptions!$B$11,Assumptions!$B$12))</f>
        <v/>
      </c>
    </row>
    <row r="929" customFormat="false" ht="15" hidden="false" customHeight="true" outlineLevel="0" collapsed="false">
      <c r="C929" s="24"/>
      <c r="F929" s="22"/>
      <c r="G929" s="23"/>
      <c r="H929" s="24"/>
      <c r="J929" s="18" t="str">
        <f aca="false">IF(F929="","",F929*G929)</f>
        <v/>
      </c>
      <c r="K929" s="5" t="str">
        <f aca="false">IF(A929="","",IF(H929&lt;&gt;"",Assumptions!$D$5-H929,IF(C929="","",Assumptions!$D$5-(C929+Assumptions!$B$8))))</f>
        <v/>
      </c>
      <c r="L929" s="5" t="str">
        <f aca="false">IF(K929="","",IF(K929&lt;0,"Phase 1 (unliquidated)",IF(K929&lt;=Assumptions!$B$7,"Phase 1 (recently liquidated)",IF(K929&lt;=Assumptions!$B$6,"Protest required","Deadline passed — litigation only"))))</f>
        <v/>
      </c>
      <c r="M929" s="20" t="str">
        <f aca="false">IF(K929="","",IF(H929&lt;&gt;"",H929+Assumptions!$B$6,C929+Assumptions!$B$8+Assumptions!$B$6))</f>
        <v/>
      </c>
      <c r="N929" s="20" t="str">
        <f aca="false">IF(K929="","",IF(K929&lt;0,IF(H929&lt;&gt;"",H929+Assumptions!$B$7,C929+Assumptions!$B$8+Assumptions!$B$7),M929))</f>
        <v/>
      </c>
      <c r="O929" s="21" t="str">
        <f aca="false">IF(N929="","",N929-Assumptions!$D$5)</f>
        <v/>
      </c>
      <c r="P929" s="22"/>
      <c r="Q929" s="22"/>
      <c r="R929" s="18" t="str">
        <f aca="false">IF(Q929="","",Q929*IF(LEFT(L929,7)="Phase 1",Assumptions!$B$11,Assumptions!$B$12))</f>
        <v/>
      </c>
    </row>
    <row r="930" customFormat="false" ht="15" hidden="false" customHeight="true" outlineLevel="0" collapsed="false">
      <c r="C930" s="24"/>
      <c r="F930" s="22"/>
      <c r="G930" s="23"/>
      <c r="H930" s="24"/>
      <c r="J930" s="18" t="str">
        <f aca="false">IF(F930="","",F930*G930)</f>
        <v/>
      </c>
      <c r="K930" s="5" t="str">
        <f aca="false">IF(A930="","",IF(H930&lt;&gt;"",Assumptions!$D$5-H930,IF(C930="","",Assumptions!$D$5-(C930+Assumptions!$B$8))))</f>
        <v/>
      </c>
      <c r="L930" s="5" t="str">
        <f aca="false">IF(K930="","",IF(K930&lt;0,"Phase 1 (unliquidated)",IF(K930&lt;=Assumptions!$B$7,"Phase 1 (recently liquidated)",IF(K930&lt;=Assumptions!$B$6,"Protest required","Deadline passed — litigation only"))))</f>
        <v/>
      </c>
      <c r="M930" s="20" t="str">
        <f aca="false">IF(K930="","",IF(H930&lt;&gt;"",H930+Assumptions!$B$6,C930+Assumptions!$B$8+Assumptions!$B$6))</f>
        <v/>
      </c>
      <c r="N930" s="20" t="str">
        <f aca="false">IF(K930="","",IF(K930&lt;0,IF(H930&lt;&gt;"",H930+Assumptions!$B$7,C930+Assumptions!$B$8+Assumptions!$B$7),M930))</f>
        <v/>
      </c>
      <c r="O930" s="21" t="str">
        <f aca="false">IF(N930="","",N930-Assumptions!$D$5)</f>
        <v/>
      </c>
      <c r="P930" s="22"/>
      <c r="Q930" s="22"/>
      <c r="R930" s="18" t="str">
        <f aca="false">IF(Q930="","",Q930*IF(LEFT(L930,7)="Phase 1",Assumptions!$B$11,Assumptions!$B$12))</f>
        <v/>
      </c>
    </row>
    <row r="931" customFormat="false" ht="15" hidden="false" customHeight="true" outlineLevel="0" collapsed="false">
      <c r="C931" s="24"/>
      <c r="F931" s="22"/>
      <c r="G931" s="23"/>
      <c r="H931" s="24"/>
      <c r="J931" s="18" t="str">
        <f aca="false">IF(F931="","",F931*G931)</f>
        <v/>
      </c>
      <c r="K931" s="5" t="str">
        <f aca="false">IF(A931="","",IF(H931&lt;&gt;"",Assumptions!$D$5-H931,IF(C931="","",Assumptions!$D$5-(C931+Assumptions!$B$8))))</f>
        <v/>
      </c>
      <c r="L931" s="5" t="str">
        <f aca="false">IF(K931="","",IF(K931&lt;0,"Phase 1 (unliquidated)",IF(K931&lt;=Assumptions!$B$7,"Phase 1 (recently liquidated)",IF(K931&lt;=Assumptions!$B$6,"Protest required","Deadline passed — litigation only"))))</f>
        <v/>
      </c>
      <c r="M931" s="20" t="str">
        <f aca="false">IF(K931="","",IF(H931&lt;&gt;"",H931+Assumptions!$B$6,C931+Assumptions!$B$8+Assumptions!$B$6))</f>
        <v/>
      </c>
      <c r="N931" s="20" t="str">
        <f aca="false">IF(K931="","",IF(K931&lt;0,IF(H931&lt;&gt;"",H931+Assumptions!$B$7,C931+Assumptions!$B$8+Assumptions!$B$7),M931))</f>
        <v/>
      </c>
      <c r="O931" s="21" t="str">
        <f aca="false">IF(N931="","",N931-Assumptions!$D$5)</f>
        <v/>
      </c>
      <c r="P931" s="22"/>
      <c r="Q931" s="22"/>
      <c r="R931" s="18" t="str">
        <f aca="false">IF(Q931="","",Q931*IF(LEFT(L931,7)="Phase 1",Assumptions!$B$11,Assumptions!$B$12))</f>
        <v/>
      </c>
    </row>
    <row r="932" customFormat="false" ht="15" hidden="false" customHeight="true" outlineLevel="0" collapsed="false">
      <c r="C932" s="24"/>
      <c r="F932" s="22"/>
      <c r="G932" s="23"/>
      <c r="H932" s="24"/>
      <c r="J932" s="18" t="str">
        <f aca="false">IF(F932="","",F932*G932)</f>
        <v/>
      </c>
      <c r="K932" s="5" t="str">
        <f aca="false">IF(A932="","",IF(H932&lt;&gt;"",Assumptions!$D$5-H932,IF(C932="","",Assumptions!$D$5-(C932+Assumptions!$B$8))))</f>
        <v/>
      </c>
      <c r="L932" s="5" t="str">
        <f aca="false">IF(K932="","",IF(K932&lt;0,"Phase 1 (unliquidated)",IF(K932&lt;=Assumptions!$B$7,"Phase 1 (recently liquidated)",IF(K932&lt;=Assumptions!$B$6,"Protest required","Deadline passed — litigation only"))))</f>
        <v/>
      </c>
      <c r="M932" s="20" t="str">
        <f aca="false">IF(K932="","",IF(H932&lt;&gt;"",H932+Assumptions!$B$6,C932+Assumptions!$B$8+Assumptions!$B$6))</f>
        <v/>
      </c>
      <c r="N932" s="20" t="str">
        <f aca="false">IF(K932="","",IF(K932&lt;0,IF(H932&lt;&gt;"",H932+Assumptions!$B$7,C932+Assumptions!$B$8+Assumptions!$B$7),M932))</f>
        <v/>
      </c>
      <c r="O932" s="21" t="str">
        <f aca="false">IF(N932="","",N932-Assumptions!$D$5)</f>
        <v/>
      </c>
      <c r="P932" s="22"/>
      <c r="Q932" s="22"/>
      <c r="R932" s="18" t="str">
        <f aca="false">IF(Q932="","",Q932*IF(LEFT(L932,7)="Phase 1",Assumptions!$B$11,Assumptions!$B$12))</f>
        <v/>
      </c>
    </row>
    <row r="933" customFormat="false" ht="15" hidden="false" customHeight="true" outlineLevel="0" collapsed="false">
      <c r="C933" s="24"/>
      <c r="F933" s="22"/>
      <c r="G933" s="23"/>
      <c r="H933" s="24"/>
      <c r="J933" s="18" t="str">
        <f aca="false">IF(F933="","",F933*G933)</f>
        <v/>
      </c>
      <c r="K933" s="5" t="str">
        <f aca="false">IF(A933="","",IF(H933&lt;&gt;"",Assumptions!$D$5-H933,IF(C933="","",Assumptions!$D$5-(C933+Assumptions!$B$8))))</f>
        <v/>
      </c>
      <c r="L933" s="5" t="str">
        <f aca="false">IF(K933="","",IF(K933&lt;0,"Phase 1 (unliquidated)",IF(K933&lt;=Assumptions!$B$7,"Phase 1 (recently liquidated)",IF(K933&lt;=Assumptions!$B$6,"Protest required","Deadline passed — litigation only"))))</f>
        <v/>
      </c>
      <c r="M933" s="20" t="str">
        <f aca="false">IF(K933="","",IF(H933&lt;&gt;"",H933+Assumptions!$B$6,C933+Assumptions!$B$8+Assumptions!$B$6))</f>
        <v/>
      </c>
      <c r="N933" s="20" t="str">
        <f aca="false">IF(K933="","",IF(K933&lt;0,IF(H933&lt;&gt;"",H933+Assumptions!$B$7,C933+Assumptions!$B$8+Assumptions!$B$7),M933))</f>
        <v/>
      </c>
      <c r="O933" s="21" t="str">
        <f aca="false">IF(N933="","",N933-Assumptions!$D$5)</f>
        <v/>
      </c>
      <c r="P933" s="22"/>
      <c r="Q933" s="22"/>
      <c r="R933" s="18" t="str">
        <f aca="false">IF(Q933="","",Q933*IF(LEFT(L933,7)="Phase 1",Assumptions!$B$11,Assumptions!$B$12))</f>
        <v/>
      </c>
    </row>
    <row r="934" customFormat="false" ht="15" hidden="false" customHeight="true" outlineLevel="0" collapsed="false">
      <c r="C934" s="24"/>
      <c r="F934" s="22"/>
      <c r="G934" s="23"/>
      <c r="H934" s="24"/>
      <c r="J934" s="18" t="str">
        <f aca="false">IF(F934="","",F934*G934)</f>
        <v/>
      </c>
      <c r="K934" s="5" t="str">
        <f aca="false">IF(A934="","",IF(H934&lt;&gt;"",Assumptions!$D$5-H934,IF(C934="","",Assumptions!$D$5-(C934+Assumptions!$B$8))))</f>
        <v/>
      </c>
      <c r="L934" s="5" t="str">
        <f aca="false">IF(K934="","",IF(K934&lt;0,"Phase 1 (unliquidated)",IF(K934&lt;=Assumptions!$B$7,"Phase 1 (recently liquidated)",IF(K934&lt;=Assumptions!$B$6,"Protest required","Deadline passed — litigation only"))))</f>
        <v/>
      </c>
      <c r="M934" s="20" t="str">
        <f aca="false">IF(K934="","",IF(H934&lt;&gt;"",H934+Assumptions!$B$6,C934+Assumptions!$B$8+Assumptions!$B$6))</f>
        <v/>
      </c>
      <c r="N934" s="20" t="str">
        <f aca="false">IF(K934="","",IF(K934&lt;0,IF(H934&lt;&gt;"",H934+Assumptions!$B$7,C934+Assumptions!$B$8+Assumptions!$B$7),M934))</f>
        <v/>
      </c>
      <c r="O934" s="21" t="str">
        <f aca="false">IF(N934="","",N934-Assumptions!$D$5)</f>
        <v/>
      </c>
      <c r="P934" s="22"/>
      <c r="Q934" s="22"/>
      <c r="R934" s="18" t="str">
        <f aca="false">IF(Q934="","",Q934*IF(LEFT(L934,7)="Phase 1",Assumptions!$B$11,Assumptions!$B$12))</f>
        <v/>
      </c>
    </row>
    <row r="935" customFormat="false" ht="15" hidden="false" customHeight="true" outlineLevel="0" collapsed="false">
      <c r="C935" s="24"/>
      <c r="F935" s="22"/>
      <c r="G935" s="23"/>
      <c r="H935" s="24"/>
      <c r="J935" s="18" t="str">
        <f aca="false">IF(F935="","",F935*G935)</f>
        <v/>
      </c>
      <c r="K935" s="5" t="str">
        <f aca="false">IF(A935="","",IF(H935&lt;&gt;"",Assumptions!$D$5-H935,IF(C935="","",Assumptions!$D$5-(C935+Assumptions!$B$8))))</f>
        <v/>
      </c>
      <c r="L935" s="5" t="str">
        <f aca="false">IF(K935="","",IF(K935&lt;0,"Phase 1 (unliquidated)",IF(K935&lt;=Assumptions!$B$7,"Phase 1 (recently liquidated)",IF(K935&lt;=Assumptions!$B$6,"Protest required","Deadline passed — litigation only"))))</f>
        <v/>
      </c>
      <c r="M935" s="20" t="str">
        <f aca="false">IF(K935="","",IF(H935&lt;&gt;"",H935+Assumptions!$B$6,C935+Assumptions!$B$8+Assumptions!$B$6))</f>
        <v/>
      </c>
      <c r="N935" s="20" t="str">
        <f aca="false">IF(K935="","",IF(K935&lt;0,IF(H935&lt;&gt;"",H935+Assumptions!$B$7,C935+Assumptions!$B$8+Assumptions!$B$7),M935))</f>
        <v/>
      </c>
      <c r="O935" s="21" t="str">
        <f aca="false">IF(N935="","",N935-Assumptions!$D$5)</f>
        <v/>
      </c>
      <c r="P935" s="22"/>
      <c r="Q935" s="22"/>
      <c r="R935" s="18" t="str">
        <f aca="false">IF(Q935="","",Q935*IF(LEFT(L935,7)="Phase 1",Assumptions!$B$11,Assumptions!$B$12))</f>
        <v/>
      </c>
    </row>
    <row r="936" customFormat="false" ht="15" hidden="false" customHeight="true" outlineLevel="0" collapsed="false">
      <c r="C936" s="24"/>
      <c r="F936" s="22"/>
      <c r="G936" s="23"/>
      <c r="H936" s="24"/>
      <c r="J936" s="18" t="str">
        <f aca="false">IF(F936="","",F936*G936)</f>
        <v/>
      </c>
      <c r="K936" s="5" t="str">
        <f aca="false">IF(A936="","",IF(H936&lt;&gt;"",Assumptions!$D$5-H936,IF(C936="","",Assumptions!$D$5-(C936+Assumptions!$B$8))))</f>
        <v/>
      </c>
      <c r="L936" s="5" t="str">
        <f aca="false">IF(K936="","",IF(K936&lt;0,"Phase 1 (unliquidated)",IF(K936&lt;=Assumptions!$B$7,"Phase 1 (recently liquidated)",IF(K936&lt;=Assumptions!$B$6,"Protest required","Deadline passed — litigation only"))))</f>
        <v/>
      </c>
      <c r="M936" s="20" t="str">
        <f aca="false">IF(K936="","",IF(H936&lt;&gt;"",H936+Assumptions!$B$6,C936+Assumptions!$B$8+Assumptions!$B$6))</f>
        <v/>
      </c>
      <c r="N936" s="20" t="str">
        <f aca="false">IF(K936="","",IF(K936&lt;0,IF(H936&lt;&gt;"",H936+Assumptions!$B$7,C936+Assumptions!$B$8+Assumptions!$B$7),M936))</f>
        <v/>
      </c>
      <c r="O936" s="21" t="str">
        <f aca="false">IF(N936="","",N936-Assumptions!$D$5)</f>
        <v/>
      </c>
      <c r="P936" s="22"/>
      <c r="Q936" s="22"/>
      <c r="R936" s="18" t="str">
        <f aca="false">IF(Q936="","",Q936*IF(LEFT(L936,7)="Phase 1",Assumptions!$B$11,Assumptions!$B$12))</f>
        <v/>
      </c>
    </row>
    <row r="937" customFormat="false" ht="15" hidden="false" customHeight="true" outlineLevel="0" collapsed="false">
      <c r="C937" s="24"/>
      <c r="F937" s="22"/>
      <c r="G937" s="23"/>
      <c r="H937" s="24"/>
      <c r="J937" s="18" t="str">
        <f aca="false">IF(F937="","",F937*G937)</f>
        <v/>
      </c>
      <c r="K937" s="5" t="str">
        <f aca="false">IF(A937="","",IF(H937&lt;&gt;"",Assumptions!$D$5-H937,IF(C937="","",Assumptions!$D$5-(C937+Assumptions!$B$8))))</f>
        <v/>
      </c>
      <c r="L937" s="5" t="str">
        <f aca="false">IF(K937="","",IF(K937&lt;0,"Phase 1 (unliquidated)",IF(K937&lt;=Assumptions!$B$7,"Phase 1 (recently liquidated)",IF(K937&lt;=Assumptions!$B$6,"Protest required","Deadline passed — litigation only"))))</f>
        <v/>
      </c>
      <c r="M937" s="20" t="str">
        <f aca="false">IF(K937="","",IF(H937&lt;&gt;"",H937+Assumptions!$B$6,C937+Assumptions!$B$8+Assumptions!$B$6))</f>
        <v/>
      </c>
      <c r="N937" s="20" t="str">
        <f aca="false">IF(K937="","",IF(K937&lt;0,IF(H937&lt;&gt;"",H937+Assumptions!$B$7,C937+Assumptions!$B$8+Assumptions!$B$7),M937))</f>
        <v/>
      </c>
      <c r="O937" s="21" t="str">
        <f aca="false">IF(N937="","",N937-Assumptions!$D$5)</f>
        <v/>
      </c>
      <c r="P937" s="22"/>
      <c r="Q937" s="22"/>
      <c r="R937" s="18" t="str">
        <f aca="false">IF(Q937="","",Q937*IF(LEFT(L937,7)="Phase 1",Assumptions!$B$11,Assumptions!$B$12))</f>
        <v/>
      </c>
    </row>
    <row r="938" customFormat="false" ht="15" hidden="false" customHeight="true" outlineLevel="0" collapsed="false">
      <c r="C938" s="24"/>
      <c r="F938" s="22"/>
      <c r="G938" s="23"/>
      <c r="H938" s="24"/>
      <c r="J938" s="18" t="str">
        <f aca="false">IF(F938="","",F938*G938)</f>
        <v/>
      </c>
      <c r="K938" s="5" t="str">
        <f aca="false">IF(A938="","",IF(H938&lt;&gt;"",Assumptions!$D$5-H938,IF(C938="","",Assumptions!$D$5-(C938+Assumptions!$B$8))))</f>
        <v/>
      </c>
      <c r="L938" s="5" t="str">
        <f aca="false">IF(K938="","",IF(K938&lt;0,"Phase 1 (unliquidated)",IF(K938&lt;=Assumptions!$B$7,"Phase 1 (recently liquidated)",IF(K938&lt;=Assumptions!$B$6,"Protest required","Deadline passed — litigation only"))))</f>
        <v/>
      </c>
      <c r="M938" s="20" t="str">
        <f aca="false">IF(K938="","",IF(H938&lt;&gt;"",H938+Assumptions!$B$6,C938+Assumptions!$B$8+Assumptions!$B$6))</f>
        <v/>
      </c>
      <c r="N938" s="20" t="str">
        <f aca="false">IF(K938="","",IF(K938&lt;0,IF(H938&lt;&gt;"",H938+Assumptions!$B$7,C938+Assumptions!$B$8+Assumptions!$B$7),M938))</f>
        <v/>
      </c>
      <c r="O938" s="21" t="str">
        <f aca="false">IF(N938="","",N938-Assumptions!$D$5)</f>
        <v/>
      </c>
      <c r="P938" s="22"/>
      <c r="Q938" s="22"/>
      <c r="R938" s="18" t="str">
        <f aca="false">IF(Q938="","",Q938*IF(LEFT(L938,7)="Phase 1",Assumptions!$B$11,Assumptions!$B$12))</f>
        <v/>
      </c>
    </row>
    <row r="939" customFormat="false" ht="15" hidden="false" customHeight="true" outlineLevel="0" collapsed="false">
      <c r="C939" s="24"/>
      <c r="F939" s="22"/>
      <c r="G939" s="23"/>
      <c r="H939" s="24"/>
      <c r="J939" s="18" t="str">
        <f aca="false">IF(F939="","",F939*G939)</f>
        <v/>
      </c>
      <c r="K939" s="5" t="str">
        <f aca="false">IF(A939="","",IF(H939&lt;&gt;"",Assumptions!$D$5-H939,IF(C939="","",Assumptions!$D$5-(C939+Assumptions!$B$8))))</f>
        <v/>
      </c>
      <c r="L939" s="5" t="str">
        <f aca="false">IF(K939="","",IF(K939&lt;0,"Phase 1 (unliquidated)",IF(K939&lt;=Assumptions!$B$7,"Phase 1 (recently liquidated)",IF(K939&lt;=Assumptions!$B$6,"Protest required","Deadline passed — litigation only"))))</f>
        <v/>
      </c>
      <c r="M939" s="20" t="str">
        <f aca="false">IF(K939="","",IF(H939&lt;&gt;"",H939+Assumptions!$B$6,C939+Assumptions!$B$8+Assumptions!$B$6))</f>
        <v/>
      </c>
      <c r="N939" s="20" t="str">
        <f aca="false">IF(K939="","",IF(K939&lt;0,IF(H939&lt;&gt;"",H939+Assumptions!$B$7,C939+Assumptions!$B$8+Assumptions!$B$7),M939))</f>
        <v/>
      </c>
      <c r="O939" s="21" t="str">
        <f aca="false">IF(N939="","",N939-Assumptions!$D$5)</f>
        <v/>
      </c>
      <c r="P939" s="22"/>
      <c r="Q939" s="22"/>
      <c r="R939" s="18" t="str">
        <f aca="false">IF(Q939="","",Q939*IF(LEFT(L939,7)="Phase 1",Assumptions!$B$11,Assumptions!$B$12))</f>
        <v/>
      </c>
    </row>
    <row r="940" customFormat="false" ht="15" hidden="false" customHeight="true" outlineLevel="0" collapsed="false">
      <c r="C940" s="24"/>
      <c r="F940" s="22"/>
      <c r="G940" s="23"/>
      <c r="H940" s="24"/>
      <c r="J940" s="18" t="str">
        <f aca="false">IF(F940="","",F940*G940)</f>
        <v/>
      </c>
      <c r="K940" s="5" t="str">
        <f aca="false">IF(A940="","",IF(H940&lt;&gt;"",Assumptions!$D$5-H940,IF(C940="","",Assumptions!$D$5-(C940+Assumptions!$B$8))))</f>
        <v/>
      </c>
      <c r="L940" s="5" t="str">
        <f aca="false">IF(K940="","",IF(K940&lt;0,"Phase 1 (unliquidated)",IF(K940&lt;=Assumptions!$B$7,"Phase 1 (recently liquidated)",IF(K940&lt;=Assumptions!$B$6,"Protest required","Deadline passed — litigation only"))))</f>
        <v/>
      </c>
      <c r="M940" s="20" t="str">
        <f aca="false">IF(K940="","",IF(H940&lt;&gt;"",H940+Assumptions!$B$6,C940+Assumptions!$B$8+Assumptions!$B$6))</f>
        <v/>
      </c>
      <c r="N940" s="20" t="str">
        <f aca="false">IF(K940="","",IF(K940&lt;0,IF(H940&lt;&gt;"",H940+Assumptions!$B$7,C940+Assumptions!$B$8+Assumptions!$B$7),M940))</f>
        <v/>
      </c>
      <c r="O940" s="21" t="str">
        <f aca="false">IF(N940="","",N940-Assumptions!$D$5)</f>
        <v/>
      </c>
      <c r="P940" s="22"/>
      <c r="Q940" s="22"/>
      <c r="R940" s="18" t="str">
        <f aca="false">IF(Q940="","",Q940*IF(LEFT(L940,7)="Phase 1",Assumptions!$B$11,Assumptions!$B$12))</f>
        <v/>
      </c>
    </row>
    <row r="941" customFormat="false" ht="15" hidden="false" customHeight="true" outlineLevel="0" collapsed="false">
      <c r="C941" s="24"/>
      <c r="F941" s="22"/>
      <c r="G941" s="23"/>
      <c r="H941" s="24"/>
      <c r="J941" s="18" t="str">
        <f aca="false">IF(F941="","",F941*G941)</f>
        <v/>
      </c>
      <c r="K941" s="5" t="str">
        <f aca="false">IF(A941="","",IF(H941&lt;&gt;"",Assumptions!$D$5-H941,IF(C941="","",Assumptions!$D$5-(C941+Assumptions!$B$8))))</f>
        <v/>
      </c>
      <c r="L941" s="5" t="str">
        <f aca="false">IF(K941="","",IF(K941&lt;0,"Phase 1 (unliquidated)",IF(K941&lt;=Assumptions!$B$7,"Phase 1 (recently liquidated)",IF(K941&lt;=Assumptions!$B$6,"Protest required","Deadline passed — litigation only"))))</f>
        <v/>
      </c>
      <c r="M941" s="20" t="str">
        <f aca="false">IF(K941="","",IF(H941&lt;&gt;"",H941+Assumptions!$B$6,C941+Assumptions!$B$8+Assumptions!$B$6))</f>
        <v/>
      </c>
      <c r="N941" s="20" t="str">
        <f aca="false">IF(K941="","",IF(K941&lt;0,IF(H941&lt;&gt;"",H941+Assumptions!$B$7,C941+Assumptions!$B$8+Assumptions!$B$7),M941))</f>
        <v/>
      </c>
      <c r="O941" s="21" t="str">
        <f aca="false">IF(N941="","",N941-Assumptions!$D$5)</f>
        <v/>
      </c>
      <c r="P941" s="22"/>
      <c r="Q941" s="22"/>
      <c r="R941" s="18" t="str">
        <f aca="false">IF(Q941="","",Q941*IF(LEFT(L941,7)="Phase 1",Assumptions!$B$11,Assumptions!$B$12))</f>
        <v/>
      </c>
    </row>
    <row r="942" customFormat="false" ht="15" hidden="false" customHeight="true" outlineLevel="0" collapsed="false">
      <c r="C942" s="24"/>
      <c r="F942" s="22"/>
      <c r="G942" s="23"/>
      <c r="H942" s="24"/>
      <c r="J942" s="18" t="str">
        <f aca="false">IF(F942="","",F942*G942)</f>
        <v/>
      </c>
      <c r="K942" s="5" t="str">
        <f aca="false">IF(A942="","",IF(H942&lt;&gt;"",Assumptions!$D$5-H942,IF(C942="","",Assumptions!$D$5-(C942+Assumptions!$B$8))))</f>
        <v/>
      </c>
      <c r="L942" s="5" t="str">
        <f aca="false">IF(K942="","",IF(K942&lt;0,"Phase 1 (unliquidated)",IF(K942&lt;=Assumptions!$B$7,"Phase 1 (recently liquidated)",IF(K942&lt;=Assumptions!$B$6,"Protest required","Deadline passed — litigation only"))))</f>
        <v/>
      </c>
      <c r="M942" s="20" t="str">
        <f aca="false">IF(K942="","",IF(H942&lt;&gt;"",H942+Assumptions!$B$6,C942+Assumptions!$B$8+Assumptions!$B$6))</f>
        <v/>
      </c>
      <c r="N942" s="20" t="str">
        <f aca="false">IF(K942="","",IF(K942&lt;0,IF(H942&lt;&gt;"",H942+Assumptions!$B$7,C942+Assumptions!$B$8+Assumptions!$B$7),M942))</f>
        <v/>
      </c>
      <c r="O942" s="21" t="str">
        <f aca="false">IF(N942="","",N942-Assumptions!$D$5)</f>
        <v/>
      </c>
      <c r="P942" s="22"/>
      <c r="Q942" s="22"/>
      <c r="R942" s="18" t="str">
        <f aca="false">IF(Q942="","",Q942*IF(LEFT(L942,7)="Phase 1",Assumptions!$B$11,Assumptions!$B$12))</f>
        <v/>
      </c>
    </row>
    <row r="943" customFormat="false" ht="15" hidden="false" customHeight="true" outlineLevel="0" collapsed="false">
      <c r="C943" s="24"/>
      <c r="F943" s="22"/>
      <c r="G943" s="23"/>
      <c r="H943" s="24"/>
      <c r="J943" s="18" t="str">
        <f aca="false">IF(F943="","",F943*G943)</f>
        <v/>
      </c>
      <c r="K943" s="5" t="str">
        <f aca="false">IF(A943="","",IF(H943&lt;&gt;"",Assumptions!$D$5-H943,IF(C943="","",Assumptions!$D$5-(C943+Assumptions!$B$8))))</f>
        <v/>
      </c>
      <c r="L943" s="5" t="str">
        <f aca="false">IF(K943="","",IF(K943&lt;0,"Phase 1 (unliquidated)",IF(K943&lt;=Assumptions!$B$7,"Phase 1 (recently liquidated)",IF(K943&lt;=Assumptions!$B$6,"Protest required","Deadline passed — litigation only"))))</f>
        <v/>
      </c>
      <c r="M943" s="20" t="str">
        <f aca="false">IF(K943="","",IF(H943&lt;&gt;"",H943+Assumptions!$B$6,C943+Assumptions!$B$8+Assumptions!$B$6))</f>
        <v/>
      </c>
      <c r="N943" s="20" t="str">
        <f aca="false">IF(K943="","",IF(K943&lt;0,IF(H943&lt;&gt;"",H943+Assumptions!$B$7,C943+Assumptions!$B$8+Assumptions!$B$7),M943))</f>
        <v/>
      </c>
      <c r="O943" s="21" t="str">
        <f aca="false">IF(N943="","",N943-Assumptions!$D$5)</f>
        <v/>
      </c>
      <c r="P943" s="22"/>
      <c r="Q943" s="22"/>
      <c r="R943" s="18" t="str">
        <f aca="false">IF(Q943="","",Q943*IF(LEFT(L943,7)="Phase 1",Assumptions!$B$11,Assumptions!$B$12))</f>
        <v/>
      </c>
    </row>
    <row r="944" customFormat="false" ht="15" hidden="false" customHeight="true" outlineLevel="0" collapsed="false">
      <c r="C944" s="24"/>
      <c r="F944" s="22"/>
      <c r="G944" s="23"/>
      <c r="H944" s="24"/>
      <c r="J944" s="18" t="str">
        <f aca="false">IF(F944="","",F944*G944)</f>
        <v/>
      </c>
      <c r="K944" s="5" t="str">
        <f aca="false">IF(A944="","",IF(H944&lt;&gt;"",Assumptions!$D$5-H944,IF(C944="","",Assumptions!$D$5-(C944+Assumptions!$B$8))))</f>
        <v/>
      </c>
      <c r="L944" s="5" t="str">
        <f aca="false">IF(K944="","",IF(K944&lt;0,"Phase 1 (unliquidated)",IF(K944&lt;=Assumptions!$B$7,"Phase 1 (recently liquidated)",IF(K944&lt;=Assumptions!$B$6,"Protest required","Deadline passed — litigation only"))))</f>
        <v/>
      </c>
      <c r="M944" s="20" t="str">
        <f aca="false">IF(K944="","",IF(H944&lt;&gt;"",H944+Assumptions!$B$6,C944+Assumptions!$B$8+Assumptions!$B$6))</f>
        <v/>
      </c>
      <c r="N944" s="20" t="str">
        <f aca="false">IF(K944="","",IF(K944&lt;0,IF(H944&lt;&gt;"",H944+Assumptions!$B$7,C944+Assumptions!$B$8+Assumptions!$B$7),M944))</f>
        <v/>
      </c>
      <c r="O944" s="21" t="str">
        <f aca="false">IF(N944="","",N944-Assumptions!$D$5)</f>
        <v/>
      </c>
      <c r="P944" s="22"/>
      <c r="Q944" s="22"/>
      <c r="R944" s="18" t="str">
        <f aca="false">IF(Q944="","",Q944*IF(LEFT(L944,7)="Phase 1",Assumptions!$B$11,Assumptions!$B$12))</f>
        <v/>
      </c>
    </row>
    <row r="945" customFormat="false" ht="15" hidden="false" customHeight="true" outlineLevel="0" collapsed="false">
      <c r="C945" s="24"/>
      <c r="F945" s="22"/>
      <c r="G945" s="23"/>
      <c r="H945" s="24"/>
      <c r="J945" s="18" t="str">
        <f aca="false">IF(F945="","",F945*G945)</f>
        <v/>
      </c>
      <c r="K945" s="5" t="str">
        <f aca="false">IF(A945="","",IF(H945&lt;&gt;"",Assumptions!$D$5-H945,IF(C945="","",Assumptions!$D$5-(C945+Assumptions!$B$8))))</f>
        <v/>
      </c>
      <c r="L945" s="5" t="str">
        <f aca="false">IF(K945="","",IF(K945&lt;0,"Phase 1 (unliquidated)",IF(K945&lt;=Assumptions!$B$7,"Phase 1 (recently liquidated)",IF(K945&lt;=Assumptions!$B$6,"Protest required","Deadline passed — litigation only"))))</f>
        <v/>
      </c>
      <c r="M945" s="20" t="str">
        <f aca="false">IF(K945="","",IF(H945&lt;&gt;"",H945+Assumptions!$B$6,C945+Assumptions!$B$8+Assumptions!$B$6))</f>
        <v/>
      </c>
      <c r="N945" s="20" t="str">
        <f aca="false">IF(K945="","",IF(K945&lt;0,IF(H945&lt;&gt;"",H945+Assumptions!$B$7,C945+Assumptions!$B$8+Assumptions!$B$7),M945))</f>
        <v/>
      </c>
      <c r="O945" s="21" t="str">
        <f aca="false">IF(N945="","",N945-Assumptions!$D$5)</f>
        <v/>
      </c>
      <c r="P945" s="22"/>
      <c r="Q945" s="22"/>
      <c r="R945" s="18" t="str">
        <f aca="false">IF(Q945="","",Q945*IF(LEFT(L945,7)="Phase 1",Assumptions!$B$11,Assumptions!$B$12))</f>
        <v/>
      </c>
    </row>
    <row r="946" customFormat="false" ht="15" hidden="false" customHeight="true" outlineLevel="0" collapsed="false">
      <c r="C946" s="24"/>
      <c r="F946" s="22"/>
      <c r="G946" s="23"/>
      <c r="H946" s="24"/>
      <c r="J946" s="18" t="str">
        <f aca="false">IF(F946="","",F946*G946)</f>
        <v/>
      </c>
      <c r="K946" s="5" t="str">
        <f aca="false">IF(A946="","",IF(H946&lt;&gt;"",Assumptions!$D$5-H946,IF(C946="","",Assumptions!$D$5-(C946+Assumptions!$B$8))))</f>
        <v/>
      </c>
      <c r="L946" s="5" t="str">
        <f aca="false">IF(K946="","",IF(K946&lt;0,"Phase 1 (unliquidated)",IF(K946&lt;=Assumptions!$B$7,"Phase 1 (recently liquidated)",IF(K946&lt;=Assumptions!$B$6,"Protest required","Deadline passed — litigation only"))))</f>
        <v/>
      </c>
      <c r="M946" s="20" t="str">
        <f aca="false">IF(K946="","",IF(H946&lt;&gt;"",H946+Assumptions!$B$6,C946+Assumptions!$B$8+Assumptions!$B$6))</f>
        <v/>
      </c>
      <c r="N946" s="20" t="str">
        <f aca="false">IF(K946="","",IF(K946&lt;0,IF(H946&lt;&gt;"",H946+Assumptions!$B$7,C946+Assumptions!$B$8+Assumptions!$B$7),M946))</f>
        <v/>
      </c>
      <c r="O946" s="21" t="str">
        <f aca="false">IF(N946="","",N946-Assumptions!$D$5)</f>
        <v/>
      </c>
      <c r="P946" s="22"/>
      <c r="Q946" s="22"/>
      <c r="R946" s="18" t="str">
        <f aca="false">IF(Q946="","",Q946*IF(LEFT(L946,7)="Phase 1",Assumptions!$B$11,Assumptions!$B$12))</f>
        <v/>
      </c>
    </row>
    <row r="947" customFormat="false" ht="15" hidden="false" customHeight="true" outlineLevel="0" collapsed="false">
      <c r="C947" s="24"/>
      <c r="F947" s="22"/>
      <c r="G947" s="23"/>
      <c r="H947" s="24"/>
      <c r="J947" s="18" t="str">
        <f aca="false">IF(F947="","",F947*G947)</f>
        <v/>
      </c>
      <c r="K947" s="5" t="str">
        <f aca="false">IF(A947="","",IF(H947&lt;&gt;"",Assumptions!$D$5-H947,IF(C947="","",Assumptions!$D$5-(C947+Assumptions!$B$8))))</f>
        <v/>
      </c>
      <c r="L947" s="5" t="str">
        <f aca="false">IF(K947="","",IF(K947&lt;0,"Phase 1 (unliquidated)",IF(K947&lt;=Assumptions!$B$7,"Phase 1 (recently liquidated)",IF(K947&lt;=Assumptions!$B$6,"Protest required","Deadline passed — litigation only"))))</f>
        <v/>
      </c>
      <c r="M947" s="20" t="str">
        <f aca="false">IF(K947="","",IF(H947&lt;&gt;"",H947+Assumptions!$B$6,C947+Assumptions!$B$8+Assumptions!$B$6))</f>
        <v/>
      </c>
      <c r="N947" s="20" t="str">
        <f aca="false">IF(K947="","",IF(K947&lt;0,IF(H947&lt;&gt;"",H947+Assumptions!$B$7,C947+Assumptions!$B$8+Assumptions!$B$7),M947))</f>
        <v/>
      </c>
      <c r="O947" s="21" t="str">
        <f aca="false">IF(N947="","",N947-Assumptions!$D$5)</f>
        <v/>
      </c>
      <c r="P947" s="22"/>
      <c r="Q947" s="22"/>
      <c r="R947" s="18" t="str">
        <f aca="false">IF(Q947="","",Q947*IF(LEFT(L947,7)="Phase 1",Assumptions!$B$11,Assumptions!$B$12))</f>
        <v/>
      </c>
    </row>
    <row r="948" customFormat="false" ht="15" hidden="false" customHeight="true" outlineLevel="0" collapsed="false">
      <c r="C948" s="24"/>
      <c r="F948" s="22"/>
      <c r="G948" s="23"/>
      <c r="H948" s="24"/>
      <c r="J948" s="18" t="str">
        <f aca="false">IF(F948="","",F948*G948)</f>
        <v/>
      </c>
      <c r="K948" s="5" t="str">
        <f aca="false">IF(A948="","",IF(H948&lt;&gt;"",Assumptions!$D$5-H948,IF(C948="","",Assumptions!$D$5-(C948+Assumptions!$B$8))))</f>
        <v/>
      </c>
      <c r="L948" s="5" t="str">
        <f aca="false">IF(K948="","",IF(K948&lt;0,"Phase 1 (unliquidated)",IF(K948&lt;=Assumptions!$B$7,"Phase 1 (recently liquidated)",IF(K948&lt;=Assumptions!$B$6,"Protest required","Deadline passed — litigation only"))))</f>
        <v/>
      </c>
      <c r="M948" s="20" t="str">
        <f aca="false">IF(K948="","",IF(H948&lt;&gt;"",H948+Assumptions!$B$6,C948+Assumptions!$B$8+Assumptions!$B$6))</f>
        <v/>
      </c>
      <c r="N948" s="20" t="str">
        <f aca="false">IF(K948="","",IF(K948&lt;0,IF(H948&lt;&gt;"",H948+Assumptions!$B$7,C948+Assumptions!$B$8+Assumptions!$B$7),M948))</f>
        <v/>
      </c>
      <c r="O948" s="21" t="str">
        <f aca="false">IF(N948="","",N948-Assumptions!$D$5)</f>
        <v/>
      </c>
      <c r="P948" s="22"/>
      <c r="Q948" s="22"/>
      <c r="R948" s="18" t="str">
        <f aca="false">IF(Q948="","",Q948*IF(LEFT(L948,7)="Phase 1",Assumptions!$B$11,Assumptions!$B$12))</f>
        <v/>
      </c>
    </row>
    <row r="949" customFormat="false" ht="15" hidden="false" customHeight="true" outlineLevel="0" collapsed="false">
      <c r="C949" s="24"/>
      <c r="F949" s="22"/>
      <c r="G949" s="23"/>
      <c r="H949" s="24"/>
      <c r="J949" s="18" t="str">
        <f aca="false">IF(F949="","",F949*G949)</f>
        <v/>
      </c>
      <c r="K949" s="5" t="str">
        <f aca="false">IF(A949="","",IF(H949&lt;&gt;"",Assumptions!$D$5-H949,IF(C949="","",Assumptions!$D$5-(C949+Assumptions!$B$8))))</f>
        <v/>
      </c>
      <c r="L949" s="5" t="str">
        <f aca="false">IF(K949="","",IF(K949&lt;0,"Phase 1 (unliquidated)",IF(K949&lt;=Assumptions!$B$7,"Phase 1 (recently liquidated)",IF(K949&lt;=Assumptions!$B$6,"Protest required","Deadline passed — litigation only"))))</f>
        <v/>
      </c>
      <c r="M949" s="20" t="str">
        <f aca="false">IF(K949="","",IF(H949&lt;&gt;"",H949+Assumptions!$B$6,C949+Assumptions!$B$8+Assumptions!$B$6))</f>
        <v/>
      </c>
      <c r="N949" s="20" t="str">
        <f aca="false">IF(K949="","",IF(K949&lt;0,IF(H949&lt;&gt;"",H949+Assumptions!$B$7,C949+Assumptions!$B$8+Assumptions!$B$7),M949))</f>
        <v/>
      </c>
      <c r="O949" s="21" t="str">
        <f aca="false">IF(N949="","",N949-Assumptions!$D$5)</f>
        <v/>
      </c>
      <c r="P949" s="22"/>
      <c r="Q949" s="22"/>
      <c r="R949" s="18" t="str">
        <f aca="false">IF(Q949="","",Q949*IF(LEFT(L949,7)="Phase 1",Assumptions!$B$11,Assumptions!$B$12))</f>
        <v/>
      </c>
    </row>
    <row r="950" customFormat="false" ht="15" hidden="false" customHeight="true" outlineLevel="0" collapsed="false">
      <c r="C950" s="24"/>
      <c r="F950" s="22"/>
      <c r="G950" s="23"/>
      <c r="H950" s="24"/>
      <c r="J950" s="18" t="str">
        <f aca="false">IF(F950="","",F950*G950)</f>
        <v/>
      </c>
      <c r="K950" s="5" t="str">
        <f aca="false">IF(A950="","",IF(H950&lt;&gt;"",Assumptions!$D$5-H950,IF(C950="","",Assumptions!$D$5-(C950+Assumptions!$B$8))))</f>
        <v/>
      </c>
      <c r="L950" s="5" t="str">
        <f aca="false">IF(K950="","",IF(K950&lt;0,"Phase 1 (unliquidated)",IF(K950&lt;=Assumptions!$B$7,"Phase 1 (recently liquidated)",IF(K950&lt;=Assumptions!$B$6,"Protest required","Deadline passed — litigation only"))))</f>
        <v/>
      </c>
      <c r="M950" s="20" t="str">
        <f aca="false">IF(K950="","",IF(H950&lt;&gt;"",H950+Assumptions!$B$6,C950+Assumptions!$B$8+Assumptions!$B$6))</f>
        <v/>
      </c>
      <c r="N950" s="20" t="str">
        <f aca="false">IF(K950="","",IF(K950&lt;0,IF(H950&lt;&gt;"",H950+Assumptions!$B$7,C950+Assumptions!$B$8+Assumptions!$B$7),M950))</f>
        <v/>
      </c>
      <c r="O950" s="21" t="str">
        <f aca="false">IF(N950="","",N950-Assumptions!$D$5)</f>
        <v/>
      </c>
      <c r="P950" s="22"/>
      <c r="Q950" s="22"/>
      <c r="R950" s="18" t="str">
        <f aca="false">IF(Q950="","",Q950*IF(LEFT(L950,7)="Phase 1",Assumptions!$B$11,Assumptions!$B$12))</f>
        <v/>
      </c>
    </row>
    <row r="951" customFormat="false" ht="15" hidden="false" customHeight="true" outlineLevel="0" collapsed="false">
      <c r="C951" s="24"/>
      <c r="F951" s="22"/>
      <c r="G951" s="23"/>
      <c r="H951" s="24"/>
      <c r="J951" s="18" t="str">
        <f aca="false">IF(F951="","",F951*G951)</f>
        <v/>
      </c>
      <c r="K951" s="5" t="str">
        <f aca="false">IF(A951="","",IF(H951&lt;&gt;"",Assumptions!$D$5-H951,IF(C951="","",Assumptions!$D$5-(C951+Assumptions!$B$8))))</f>
        <v/>
      </c>
      <c r="L951" s="5" t="str">
        <f aca="false">IF(K951="","",IF(K951&lt;0,"Phase 1 (unliquidated)",IF(K951&lt;=Assumptions!$B$7,"Phase 1 (recently liquidated)",IF(K951&lt;=Assumptions!$B$6,"Protest required","Deadline passed — litigation only"))))</f>
        <v/>
      </c>
      <c r="M951" s="20" t="str">
        <f aca="false">IF(K951="","",IF(H951&lt;&gt;"",H951+Assumptions!$B$6,C951+Assumptions!$B$8+Assumptions!$B$6))</f>
        <v/>
      </c>
      <c r="N951" s="20" t="str">
        <f aca="false">IF(K951="","",IF(K951&lt;0,IF(H951&lt;&gt;"",H951+Assumptions!$B$7,C951+Assumptions!$B$8+Assumptions!$B$7),M951))</f>
        <v/>
      </c>
      <c r="O951" s="21" t="str">
        <f aca="false">IF(N951="","",N951-Assumptions!$D$5)</f>
        <v/>
      </c>
      <c r="P951" s="22"/>
      <c r="Q951" s="22"/>
      <c r="R951" s="18" t="str">
        <f aca="false">IF(Q951="","",Q951*IF(LEFT(L951,7)="Phase 1",Assumptions!$B$11,Assumptions!$B$12))</f>
        <v/>
      </c>
    </row>
    <row r="952" customFormat="false" ht="15" hidden="false" customHeight="true" outlineLevel="0" collapsed="false">
      <c r="C952" s="24"/>
      <c r="F952" s="22"/>
      <c r="G952" s="23"/>
      <c r="H952" s="24"/>
      <c r="J952" s="18" t="str">
        <f aca="false">IF(F952="","",F952*G952)</f>
        <v/>
      </c>
      <c r="K952" s="5" t="str">
        <f aca="false">IF(A952="","",IF(H952&lt;&gt;"",Assumptions!$D$5-H952,IF(C952="","",Assumptions!$D$5-(C952+Assumptions!$B$8))))</f>
        <v/>
      </c>
      <c r="L952" s="5" t="str">
        <f aca="false">IF(K952="","",IF(K952&lt;0,"Phase 1 (unliquidated)",IF(K952&lt;=Assumptions!$B$7,"Phase 1 (recently liquidated)",IF(K952&lt;=Assumptions!$B$6,"Protest required","Deadline passed — litigation only"))))</f>
        <v/>
      </c>
      <c r="M952" s="20" t="str">
        <f aca="false">IF(K952="","",IF(H952&lt;&gt;"",H952+Assumptions!$B$6,C952+Assumptions!$B$8+Assumptions!$B$6))</f>
        <v/>
      </c>
      <c r="N952" s="20" t="str">
        <f aca="false">IF(K952="","",IF(K952&lt;0,IF(H952&lt;&gt;"",H952+Assumptions!$B$7,C952+Assumptions!$B$8+Assumptions!$B$7),M952))</f>
        <v/>
      </c>
      <c r="O952" s="21" t="str">
        <f aca="false">IF(N952="","",N952-Assumptions!$D$5)</f>
        <v/>
      </c>
      <c r="P952" s="22"/>
      <c r="Q952" s="22"/>
      <c r="R952" s="18" t="str">
        <f aca="false">IF(Q952="","",Q952*IF(LEFT(L952,7)="Phase 1",Assumptions!$B$11,Assumptions!$B$12))</f>
        <v/>
      </c>
    </row>
    <row r="953" customFormat="false" ht="15" hidden="false" customHeight="true" outlineLevel="0" collapsed="false">
      <c r="C953" s="24"/>
      <c r="F953" s="22"/>
      <c r="G953" s="23"/>
      <c r="H953" s="24"/>
      <c r="J953" s="18" t="str">
        <f aca="false">IF(F953="","",F953*G953)</f>
        <v/>
      </c>
      <c r="K953" s="5" t="str">
        <f aca="false">IF(A953="","",IF(H953&lt;&gt;"",Assumptions!$D$5-H953,IF(C953="","",Assumptions!$D$5-(C953+Assumptions!$B$8))))</f>
        <v/>
      </c>
      <c r="L953" s="5" t="str">
        <f aca="false">IF(K953="","",IF(K953&lt;0,"Phase 1 (unliquidated)",IF(K953&lt;=Assumptions!$B$7,"Phase 1 (recently liquidated)",IF(K953&lt;=Assumptions!$B$6,"Protest required","Deadline passed — litigation only"))))</f>
        <v/>
      </c>
      <c r="M953" s="20" t="str">
        <f aca="false">IF(K953="","",IF(H953&lt;&gt;"",H953+Assumptions!$B$6,C953+Assumptions!$B$8+Assumptions!$B$6))</f>
        <v/>
      </c>
      <c r="N953" s="20" t="str">
        <f aca="false">IF(K953="","",IF(K953&lt;0,IF(H953&lt;&gt;"",H953+Assumptions!$B$7,C953+Assumptions!$B$8+Assumptions!$B$7),M953))</f>
        <v/>
      </c>
      <c r="O953" s="21" t="str">
        <f aca="false">IF(N953="","",N953-Assumptions!$D$5)</f>
        <v/>
      </c>
      <c r="P953" s="22"/>
      <c r="Q953" s="22"/>
      <c r="R953" s="18" t="str">
        <f aca="false">IF(Q953="","",Q953*IF(LEFT(L953,7)="Phase 1",Assumptions!$B$11,Assumptions!$B$12))</f>
        <v/>
      </c>
    </row>
    <row r="954" customFormat="false" ht="15" hidden="false" customHeight="true" outlineLevel="0" collapsed="false">
      <c r="C954" s="24"/>
      <c r="F954" s="22"/>
      <c r="G954" s="23"/>
      <c r="H954" s="24"/>
      <c r="J954" s="18" t="str">
        <f aca="false">IF(F954="","",F954*G954)</f>
        <v/>
      </c>
      <c r="K954" s="5" t="str">
        <f aca="false">IF(A954="","",IF(H954&lt;&gt;"",Assumptions!$D$5-H954,IF(C954="","",Assumptions!$D$5-(C954+Assumptions!$B$8))))</f>
        <v/>
      </c>
      <c r="L954" s="5" t="str">
        <f aca="false">IF(K954="","",IF(K954&lt;0,"Phase 1 (unliquidated)",IF(K954&lt;=Assumptions!$B$7,"Phase 1 (recently liquidated)",IF(K954&lt;=Assumptions!$B$6,"Protest required","Deadline passed — litigation only"))))</f>
        <v/>
      </c>
      <c r="M954" s="20" t="str">
        <f aca="false">IF(K954="","",IF(H954&lt;&gt;"",H954+Assumptions!$B$6,C954+Assumptions!$B$8+Assumptions!$B$6))</f>
        <v/>
      </c>
      <c r="N954" s="20" t="str">
        <f aca="false">IF(K954="","",IF(K954&lt;0,IF(H954&lt;&gt;"",H954+Assumptions!$B$7,C954+Assumptions!$B$8+Assumptions!$B$7),M954))</f>
        <v/>
      </c>
      <c r="O954" s="21" t="str">
        <f aca="false">IF(N954="","",N954-Assumptions!$D$5)</f>
        <v/>
      </c>
      <c r="P954" s="22"/>
      <c r="Q954" s="22"/>
      <c r="R954" s="18" t="str">
        <f aca="false">IF(Q954="","",Q954*IF(LEFT(L954,7)="Phase 1",Assumptions!$B$11,Assumptions!$B$12))</f>
        <v/>
      </c>
    </row>
    <row r="955" customFormat="false" ht="15" hidden="false" customHeight="true" outlineLevel="0" collapsed="false">
      <c r="C955" s="24"/>
      <c r="F955" s="22"/>
      <c r="G955" s="23"/>
      <c r="H955" s="24"/>
      <c r="J955" s="18" t="str">
        <f aca="false">IF(F955="","",F955*G955)</f>
        <v/>
      </c>
      <c r="K955" s="5" t="str">
        <f aca="false">IF(A955="","",IF(H955&lt;&gt;"",Assumptions!$D$5-H955,IF(C955="","",Assumptions!$D$5-(C955+Assumptions!$B$8))))</f>
        <v/>
      </c>
      <c r="L955" s="5" t="str">
        <f aca="false">IF(K955="","",IF(K955&lt;0,"Phase 1 (unliquidated)",IF(K955&lt;=Assumptions!$B$7,"Phase 1 (recently liquidated)",IF(K955&lt;=Assumptions!$B$6,"Protest required","Deadline passed — litigation only"))))</f>
        <v/>
      </c>
      <c r="M955" s="20" t="str">
        <f aca="false">IF(K955="","",IF(H955&lt;&gt;"",H955+Assumptions!$B$6,C955+Assumptions!$B$8+Assumptions!$B$6))</f>
        <v/>
      </c>
      <c r="N955" s="20" t="str">
        <f aca="false">IF(K955="","",IF(K955&lt;0,IF(H955&lt;&gt;"",H955+Assumptions!$B$7,C955+Assumptions!$B$8+Assumptions!$B$7),M955))</f>
        <v/>
      </c>
      <c r="O955" s="21" t="str">
        <f aca="false">IF(N955="","",N955-Assumptions!$D$5)</f>
        <v/>
      </c>
      <c r="P955" s="22"/>
      <c r="Q955" s="22"/>
      <c r="R955" s="18" t="str">
        <f aca="false">IF(Q955="","",Q955*IF(LEFT(L955,7)="Phase 1",Assumptions!$B$11,Assumptions!$B$12))</f>
        <v/>
      </c>
    </row>
    <row r="956" customFormat="false" ht="15" hidden="false" customHeight="true" outlineLevel="0" collapsed="false">
      <c r="C956" s="24"/>
      <c r="F956" s="22"/>
      <c r="G956" s="23"/>
      <c r="H956" s="24"/>
      <c r="J956" s="18" t="str">
        <f aca="false">IF(F956="","",F956*G956)</f>
        <v/>
      </c>
      <c r="K956" s="5" t="str">
        <f aca="false">IF(A956="","",IF(H956&lt;&gt;"",Assumptions!$D$5-H956,IF(C956="","",Assumptions!$D$5-(C956+Assumptions!$B$8))))</f>
        <v/>
      </c>
      <c r="L956" s="5" t="str">
        <f aca="false">IF(K956="","",IF(K956&lt;0,"Phase 1 (unliquidated)",IF(K956&lt;=Assumptions!$B$7,"Phase 1 (recently liquidated)",IF(K956&lt;=Assumptions!$B$6,"Protest required","Deadline passed — litigation only"))))</f>
        <v/>
      </c>
      <c r="M956" s="20" t="str">
        <f aca="false">IF(K956="","",IF(H956&lt;&gt;"",H956+Assumptions!$B$6,C956+Assumptions!$B$8+Assumptions!$B$6))</f>
        <v/>
      </c>
      <c r="N956" s="20" t="str">
        <f aca="false">IF(K956="","",IF(K956&lt;0,IF(H956&lt;&gt;"",H956+Assumptions!$B$7,C956+Assumptions!$B$8+Assumptions!$B$7),M956))</f>
        <v/>
      </c>
      <c r="O956" s="21" t="str">
        <f aca="false">IF(N956="","",N956-Assumptions!$D$5)</f>
        <v/>
      </c>
      <c r="P956" s="22"/>
      <c r="Q956" s="22"/>
      <c r="R956" s="18" t="str">
        <f aca="false">IF(Q956="","",Q956*IF(LEFT(L956,7)="Phase 1",Assumptions!$B$11,Assumptions!$B$12))</f>
        <v/>
      </c>
    </row>
    <row r="957" customFormat="false" ht="15" hidden="false" customHeight="true" outlineLevel="0" collapsed="false">
      <c r="C957" s="24"/>
      <c r="F957" s="22"/>
      <c r="G957" s="23"/>
      <c r="H957" s="24"/>
      <c r="J957" s="18" t="str">
        <f aca="false">IF(F957="","",F957*G957)</f>
        <v/>
      </c>
      <c r="K957" s="5" t="str">
        <f aca="false">IF(A957="","",IF(H957&lt;&gt;"",Assumptions!$D$5-H957,IF(C957="","",Assumptions!$D$5-(C957+Assumptions!$B$8))))</f>
        <v/>
      </c>
      <c r="L957" s="5" t="str">
        <f aca="false">IF(K957="","",IF(K957&lt;0,"Phase 1 (unliquidated)",IF(K957&lt;=Assumptions!$B$7,"Phase 1 (recently liquidated)",IF(K957&lt;=Assumptions!$B$6,"Protest required","Deadline passed — litigation only"))))</f>
        <v/>
      </c>
      <c r="M957" s="20" t="str">
        <f aca="false">IF(K957="","",IF(H957&lt;&gt;"",H957+Assumptions!$B$6,C957+Assumptions!$B$8+Assumptions!$B$6))</f>
        <v/>
      </c>
      <c r="N957" s="20" t="str">
        <f aca="false">IF(K957="","",IF(K957&lt;0,IF(H957&lt;&gt;"",H957+Assumptions!$B$7,C957+Assumptions!$B$8+Assumptions!$B$7),M957))</f>
        <v/>
      </c>
      <c r="O957" s="21" t="str">
        <f aca="false">IF(N957="","",N957-Assumptions!$D$5)</f>
        <v/>
      </c>
      <c r="P957" s="22"/>
      <c r="Q957" s="22"/>
      <c r="R957" s="18" t="str">
        <f aca="false">IF(Q957="","",Q957*IF(LEFT(L957,7)="Phase 1",Assumptions!$B$11,Assumptions!$B$12))</f>
        <v/>
      </c>
    </row>
    <row r="958" customFormat="false" ht="15" hidden="false" customHeight="true" outlineLevel="0" collapsed="false">
      <c r="C958" s="24"/>
      <c r="F958" s="22"/>
      <c r="G958" s="23"/>
      <c r="H958" s="24"/>
      <c r="J958" s="18" t="str">
        <f aca="false">IF(F958="","",F958*G958)</f>
        <v/>
      </c>
      <c r="K958" s="5" t="str">
        <f aca="false">IF(A958="","",IF(H958&lt;&gt;"",Assumptions!$D$5-H958,IF(C958="","",Assumptions!$D$5-(C958+Assumptions!$B$8))))</f>
        <v/>
      </c>
      <c r="L958" s="5" t="str">
        <f aca="false">IF(K958="","",IF(K958&lt;0,"Phase 1 (unliquidated)",IF(K958&lt;=Assumptions!$B$7,"Phase 1 (recently liquidated)",IF(K958&lt;=Assumptions!$B$6,"Protest required","Deadline passed — litigation only"))))</f>
        <v/>
      </c>
      <c r="M958" s="20" t="str">
        <f aca="false">IF(K958="","",IF(H958&lt;&gt;"",H958+Assumptions!$B$6,C958+Assumptions!$B$8+Assumptions!$B$6))</f>
        <v/>
      </c>
      <c r="N958" s="20" t="str">
        <f aca="false">IF(K958="","",IF(K958&lt;0,IF(H958&lt;&gt;"",H958+Assumptions!$B$7,C958+Assumptions!$B$8+Assumptions!$B$7),M958))</f>
        <v/>
      </c>
      <c r="O958" s="21" t="str">
        <f aca="false">IF(N958="","",N958-Assumptions!$D$5)</f>
        <v/>
      </c>
      <c r="P958" s="22"/>
      <c r="Q958" s="22"/>
      <c r="R958" s="18" t="str">
        <f aca="false">IF(Q958="","",Q958*IF(LEFT(L958,7)="Phase 1",Assumptions!$B$11,Assumptions!$B$12))</f>
        <v/>
      </c>
    </row>
    <row r="959" customFormat="false" ht="15" hidden="false" customHeight="true" outlineLevel="0" collapsed="false">
      <c r="C959" s="24"/>
      <c r="F959" s="22"/>
      <c r="G959" s="23"/>
      <c r="H959" s="24"/>
      <c r="J959" s="18" t="str">
        <f aca="false">IF(F959="","",F959*G959)</f>
        <v/>
      </c>
      <c r="K959" s="5" t="str">
        <f aca="false">IF(A959="","",IF(H959&lt;&gt;"",Assumptions!$D$5-H959,IF(C959="","",Assumptions!$D$5-(C959+Assumptions!$B$8))))</f>
        <v/>
      </c>
      <c r="L959" s="5" t="str">
        <f aca="false">IF(K959="","",IF(K959&lt;0,"Phase 1 (unliquidated)",IF(K959&lt;=Assumptions!$B$7,"Phase 1 (recently liquidated)",IF(K959&lt;=Assumptions!$B$6,"Protest required","Deadline passed — litigation only"))))</f>
        <v/>
      </c>
      <c r="M959" s="20" t="str">
        <f aca="false">IF(K959="","",IF(H959&lt;&gt;"",H959+Assumptions!$B$6,C959+Assumptions!$B$8+Assumptions!$B$6))</f>
        <v/>
      </c>
      <c r="N959" s="20" t="str">
        <f aca="false">IF(K959="","",IF(K959&lt;0,IF(H959&lt;&gt;"",H959+Assumptions!$B$7,C959+Assumptions!$B$8+Assumptions!$B$7),M959))</f>
        <v/>
      </c>
      <c r="O959" s="21" t="str">
        <f aca="false">IF(N959="","",N959-Assumptions!$D$5)</f>
        <v/>
      </c>
      <c r="P959" s="22"/>
      <c r="Q959" s="22"/>
      <c r="R959" s="18" t="str">
        <f aca="false">IF(Q959="","",Q959*IF(LEFT(L959,7)="Phase 1",Assumptions!$B$11,Assumptions!$B$12))</f>
        <v/>
      </c>
    </row>
    <row r="960" customFormat="false" ht="15" hidden="false" customHeight="true" outlineLevel="0" collapsed="false">
      <c r="C960" s="24"/>
      <c r="F960" s="22"/>
      <c r="G960" s="23"/>
      <c r="H960" s="24"/>
      <c r="J960" s="18" t="str">
        <f aca="false">IF(F960="","",F960*G960)</f>
        <v/>
      </c>
      <c r="K960" s="5" t="str">
        <f aca="false">IF(A960="","",IF(H960&lt;&gt;"",Assumptions!$D$5-H960,IF(C960="","",Assumptions!$D$5-(C960+Assumptions!$B$8))))</f>
        <v/>
      </c>
      <c r="L960" s="5" t="str">
        <f aca="false">IF(K960="","",IF(K960&lt;0,"Phase 1 (unliquidated)",IF(K960&lt;=Assumptions!$B$7,"Phase 1 (recently liquidated)",IF(K960&lt;=Assumptions!$B$6,"Protest required","Deadline passed — litigation only"))))</f>
        <v/>
      </c>
      <c r="M960" s="20" t="str">
        <f aca="false">IF(K960="","",IF(H960&lt;&gt;"",H960+Assumptions!$B$6,C960+Assumptions!$B$8+Assumptions!$B$6))</f>
        <v/>
      </c>
      <c r="N960" s="20" t="str">
        <f aca="false">IF(K960="","",IF(K960&lt;0,IF(H960&lt;&gt;"",H960+Assumptions!$B$7,C960+Assumptions!$B$8+Assumptions!$B$7),M960))</f>
        <v/>
      </c>
      <c r="O960" s="21" t="str">
        <f aca="false">IF(N960="","",N960-Assumptions!$D$5)</f>
        <v/>
      </c>
      <c r="P960" s="22"/>
      <c r="Q960" s="22"/>
      <c r="R960" s="18" t="str">
        <f aca="false">IF(Q960="","",Q960*IF(LEFT(L960,7)="Phase 1",Assumptions!$B$11,Assumptions!$B$12))</f>
        <v/>
      </c>
    </row>
    <row r="961" customFormat="false" ht="15" hidden="false" customHeight="true" outlineLevel="0" collapsed="false">
      <c r="C961" s="24"/>
      <c r="F961" s="22"/>
      <c r="G961" s="23"/>
      <c r="H961" s="24"/>
      <c r="J961" s="18" t="str">
        <f aca="false">IF(F961="","",F961*G961)</f>
        <v/>
      </c>
      <c r="K961" s="5" t="str">
        <f aca="false">IF(A961="","",IF(H961&lt;&gt;"",Assumptions!$D$5-H961,IF(C961="","",Assumptions!$D$5-(C961+Assumptions!$B$8))))</f>
        <v/>
      </c>
      <c r="L961" s="5" t="str">
        <f aca="false">IF(K961="","",IF(K961&lt;0,"Phase 1 (unliquidated)",IF(K961&lt;=Assumptions!$B$7,"Phase 1 (recently liquidated)",IF(K961&lt;=Assumptions!$B$6,"Protest required","Deadline passed — litigation only"))))</f>
        <v/>
      </c>
      <c r="M961" s="20" t="str">
        <f aca="false">IF(K961="","",IF(H961&lt;&gt;"",H961+Assumptions!$B$6,C961+Assumptions!$B$8+Assumptions!$B$6))</f>
        <v/>
      </c>
      <c r="N961" s="20" t="str">
        <f aca="false">IF(K961="","",IF(K961&lt;0,IF(H961&lt;&gt;"",H961+Assumptions!$B$7,C961+Assumptions!$B$8+Assumptions!$B$7),M961))</f>
        <v/>
      </c>
      <c r="O961" s="21" t="str">
        <f aca="false">IF(N961="","",N961-Assumptions!$D$5)</f>
        <v/>
      </c>
      <c r="P961" s="22"/>
      <c r="Q961" s="22"/>
      <c r="R961" s="18" t="str">
        <f aca="false">IF(Q961="","",Q961*IF(LEFT(L961,7)="Phase 1",Assumptions!$B$11,Assumptions!$B$12))</f>
        <v/>
      </c>
    </row>
    <row r="962" customFormat="false" ht="15" hidden="false" customHeight="true" outlineLevel="0" collapsed="false">
      <c r="C962" s="24"/>
      <c r="F962" s="22"/>
      <c r="G962" s="23"/>
      <c r="H962" s="24"/>
      <c r="J962" s="18" t="str">
        <f aca="false">IF(F962="","",F962*G962)</f>
        <v/>
      </c>
      <c r="K962" s="5" t="str">
        <f aca="false">IF(A962="","",IF(H962&lt;&gt;"",Assumptions!$D$5-H962,IF(C962="","",Assumptions!$D$5-(C962+Assumptions!$B$8))))</f>
        <v/>
      </c>
      <c r="L962" s="5" t="str">
        <f aca="false">IF(K962="","",IF(K962&lt;0,"Phase 1 (unliquidated)",IF(K962&lt;=Assumptions!$B$7,"Phase 1 (recently liquidated)",IF(K962&lt;=Assumptions!$B$6,"Protest required","Deadline passed — litigation only"))))</f>
        <v/>
      </c>
      <c r="M962" s="20" t="str">
        <f aca="false">IF(K962="","",IF(H962&lt;&gt;"",H962+Assumptions!$B$6,C962+Assumptions!$B$8+Assumptions!$B$6))</f>
        <v/>
      </c>
      <c r="N962" s="20" t="str">
        <f aca="false">IF(K962="","",IF(K962&lt;0,IF(H962&lt;&gt;"",H962+Assumptions!$B$7,C962+Assumptions!$B$8+Assumptions!$B$7),M962))</f>
        <v/>
      </c>
      <c r="O962" s="21" t="str">
        <f aca="false">IF(N962="","",N962-Assumptions!$D$5)</f>
        <v/>
      </c>
      <c r="P962" s="22"/>
      <c r="Q962" s="22"/>
      <c r="R962" s="18" t="str">
        <f aca="false">IF(Q962="","",Q962*IF(LEFT(L962,7)="Phase 1",Assumptions!$B$11,Assumptions!$B$12))</f>
        <v/>
      </c>
    </row>
    <row r="963" customFormat="false" ht="15" hidden="false" customHeight="true" outlineLevel="0" collapsed="false">
      <c r="C963" s="24"/>
      <c r="F963" s="22"/>
      <c r="G963" s="23"/>
      <c r="H963" s="24"/>
      <c r="J963" s="18" t="str">
        <f aca="false">IF(F963="","",F963*G963)</f>
        <v/>
      </c>
      <c r="K963" s="5" t="str">
        <f aca="false">IF(A963="","",IF(H963&lt;&gt;"",Assumptions!$D$5-H963,IF(C963="","",Assumptions!$D$5-(C963+Assumptions!$B$8))))</f>
        <v/>
      </c>
      <c r="L963" s="5" t="str">
        <f aca="false">IF(K963="","",IF(K963&lt;0,"Phase 1 (unliquidated)",IF(K963&lt;=Assumptions!$B$7,"Phase 1 (recently liquidated)",IF(K963&lt;=Assumptions!$B$6,"Protest required","Deadline passed — litigation only"))))</f>
        <v/>
      </c>
      <c r="M963" s="20" t="str">
        <f aca="false">IF(K963="","",IF(H963&lt;&gt;"",H963+Assumptions!$B$6,C963+Assumptions!$B$8+Assumptions!$B$6))</f>
        <v/>
      </c>
      <c r="N963" s="20" t="str">
        <f aca="false">IF(K963="","",IF(K963&lt;0,IF(H963&lt;&gt;"",H963+Assumptions!$B$7,C963+Assumptions!$B$8+Assumptions!$B$7),M963))</f>
        <v/>
      </c>
      <c r="O963" s="21" t="str">
        <f aca="false">IF(N963="","",N963-Assumptions!$D$5)</f>
        <v/>
      </c>
      <c r="P963" s="22"/>
      <c r="Q963" s="22"/>
      <c r="R963" s="18" t="str">
        <f aca="false">IF(Q963="","",Q963*IF(LEFT(L963,7)="Phase 1",Assumptions!$B$11,Assumptions!$B$12))</f>
        <v/>
      </c>
    </row>
    <row r="964" customFormat="false" ht="15" hidden="false" customHeight="true" outlineLevel="0" collapsed="false">
      <c r="C964" s="24"/>
      <c r="F964" s="22"/>
      <c r="G964" s="23"/>
      <c r="H964" s="24"/>
      <c r="J964" s="18" t="str">
        <f aca="false">IF(F964="","",F964*G964)</f>
        <v/>
      </c>
      <c r="K964" s="5" t="str">
        <f aca="false">IF(A964="","",IF(H964&lt;&gt;"",Assumptions!$D$5-H964,IF(C964="","",Assumptions!$D$5-(C964+Assumptions!$B$8))))</f>
        <v/>
      </c>
      <c r="L964" s="5" t="str">
        <f aca="false">IF(K964="","",IF(K964&lt;0,"Phase 1 (unliquidated)",IF(K964&lt;=Assumptions!$B$7,"Phase 1 (recently liquidated)",IF(K964&lt;=Assumptions!$B$6,"Protest required","Deadline passed — litigation only"))))</f>
        <v/>
      </c>
      <c r="M964" s="20" t="str">
        <f aca="false">IF(K964="","",IF(H964&lt;&gt;"",H964+Assumptions!$B$6,C964+Assumptions!$B$8+Assumptions!$B$6))</f>
        <v/>
      </c>
      <c r="N964" s="20" t="str">
        <f aca="false">IF(K964="","",IF(K964&lt;0,IF(H964&lt;&gt;"",H964+Assumptions!$B$7,C964+Assumptions!$B$8+Assumptions!$B$7),M964))</f>
        <v/>
      </c>
      <c r="O964" s="21" t="str">
        <f aca="false">IF(N964="","",N964-Assumptions!$D$5)</f>
        <v/>
      </c>
      <c r="P964" s="22"/>
      <c r="Q964" s="22"/>
      <c r="R964" s="18" t="str">
        <f aca="false">IF(Q964="","",Q964*IF(LEFT(L964,7)="Phase 1",Assumptions!$B$11,Assumptions!$B$12))</f>
        <v/>
      </c>
    </row>
    <row r="965" customFormat="false" ht="15" hidden="false" customHeight="true" outlineLevel="0" collapsed="false">
      <c r="C965" s="24"/>
      <c r="F965" s="22"/>
      <c r="G965" s="23"/>
      <c r="H965" s="24"/>
      <c r="J965" s="18" t="str">
        <f aca="false">IF(F965="","",F965*G965)</f>
        <v/>
      </c>
      <c r="K965" s="5" t="str">
        <f aca="false">IF(A965="","",IF(H965&lt;&gt;"",Assumptions!$D$5-H965,IF(C965="","",Assumptions!$D$5-(C965+Assumptions!$B$8))))</f>
        <v/>
      </c>
      <c r="L965" s="5" t="str">
        <f aca="false">IF(K965="","",IF(K965&lt;0,"Phase 1 (unliquidated)",IF(K965&lt;=Assumptions!$B$7,"Phase 1 (recently liquidated)",IF(K965&lt;=Assumptions!$B$6,"Protest required","Deadline passed — litigation only"))))</f>
        <v/>
      </c>
      <c r="M965" s="20" t="str">
        <f aca="false">IF(K965="","",IF(H965&lt;&gt;"",H965+Assumptions!$B$6,C965+Assumptions!$B$8+Assumptions!$B$6))</f>
        <v/>
      </c>
      <c r="N965" s="20" t="str">
        <f aca="false">IF(K965="","",IF(K965&lt;0,IF(H965&lt;&gt;"",H965+Assumptions!$B$7,C965+Assumptions!$B$8+Assumptions!$B$7),M965))</f>
        <v/>
      </c>
      <c r="O965" s="21" t="str">
        <f aca="false">IF(N965="","",N965-Assumptions!$D$5)</f>
        <v/>
      </c>
      <c r="P965" s="22"/>
      <c r="Q965" s="22"/>
      <c r="R965" s="18" t="str">
        <f aca="false">IF(Q965="","",Q965*IF(LEFT(L965,7)="Phase 1",Assumptions!$B$11,Assumptions!$B$12))</f>
        <v/>
      </c>
    </row>
    <row r="966" customFormat="false" ht="15" hidden="false" customHeight="true" outlineLevel="0" collapsed="false">
      <c r="C966" s="24"/>
      <c r="F966" s="22"/>
      <c r="G966" s="23"/>
      <c r="H966" s="24"/>
      <c r="J966" s="18" t="str">
        <f aca="false">IF(F966="","",F966*G966)</f>
        <v/>
      </c>
      <c r="K966" s="5" t="str">
        <f aca="false">IF(A966="","",IF(H966&lt;&gt;"",Assumptions!$D$5-H966,IF(C966="","",Assumptions!$D$5-(C966+Assumptions!$B$8))))</f>
        <v/>
      </c>
      <c r="L966" s="5" t="str">
        <f aca="false">IF(K966="","",IF(K966&lt;0,"Phase 1 (unliquidated)",IF(K966&lt;=Assumptions!$B$7,"Phase 1 (recently liquidated)",IF(K966&lt;=Assumptions!$B$6,"Protest required","Deadline passed — litigation only"))))</f>
        <v/>
      </c>
      <c r="M966" s="20" t="str">
        <f aca="false">IF(K966="","",IF(H966&lt;&gt;"",H966+Assumptions!$B$6,C966+Assumptions!$B$8+Assumptions!$B$6))</f>
        <v/>
      </c>
      <c r="N966" s="20" t="str">
        <f aca="false">IF(K966="","",IF(K966&lt;0,IF(H966&lt;&gt;"",H966+Assumptions!$B$7,C966+Assumptions!$B$8+Assumptions!$B$7),M966))</f>
        <v/>
      </c>
      <c r="O966" s="21" t="str">
        <f aca="false">IF(N966="","",N966-Assumptions!$D$5)</f>
        <v/>
      </c>
      <c r="P966" s="22"/>
      <c r="Q966" s="22"/>
      <c r="R966" s="18" t="str">
        <f aca="false">IF(Q966="","",Q966*IF(LEFT(L966,7)="Phase 1",Assumptions!$B$11,Assumptions!$B$12))</f>
        <v/>
      </c>
    </row>
    <row r="967" customFormat="false" ht="15" hidden="false" customHeight="true" outlineLevel="0" collapsed="false">
      <c r="C967" s="24"/>
      <c r="F967" s="22"/>
      <c r="G967" s="23"/>
      <c r="H967" s="24"/>
      <c r="J967" s="18" t="str">
        <f aca="false">IF(F967="","",F967*G967)</f>
        <v/>
      </c>
      <c r="K967" s="5" t="str">
        <f aca="false">IF(A967="","",IF(H967&lt;&gt;"",Assumptions!$D$5-H967,IF(C967="","",Assumptions!$D$5-(C967+Assumptions!$B$8))))</f>
        <v/>
      </c>
      <c r="L967" s="5" t="str">
        <f aca="false">IF(K967="","",IF(K967&lt;0,"Phase 1 (unliquidated)",IF(K967&lt;=Assumptions!$B$7,"Phase 1 (recently liquidated)",IF(K967&lt;=Assumptions!$B$6,"Protest required","Deadline passed — litigation only"))))</f>
        <v/>
      </c>
      <c r="M967" s="20" t="str">
        <f aca="false">IF(K967="","",IF(H967&lt;&gt;"",H967+Assumptions!$B$6,C967+Assumptions!$B$8+Assumptions!$B$6))</f>
        <v/>
      </c>
      <c r="N967" s="20" t="str">
        <f aca="false">IF(K967="","",IF(K967&lt;0,IF(H967&lt;&gt;"",H967+Assumptions!$B$7,C967+Assumptions!$B$8+Assumptions!$B$7),M967))</f>
        <v/>
      </c>
      <c r="O967" s="21" t="str">
        <f aca="false">IF(N967="","",N967-Assumptions!$D$5)</f>
        <v/>
      </c>
      <c r="P967" s="22"/>
      <c r="Q967" s="22"/>
      <c r="R967" s="18" t="str">
        <f aca="false">IF(Q967="","",Q967*IF(LEFT(L967,7)="Phase 1",Assumptions!$B$11,Assumptions!$B$12))</f>
        <v/>
      </c>
    </row>
    <row r="968" customFormat="false" ht="15" hidden="false" customHeight="true" outlineLevel="0" collapsed="false">
      <c r="C968" s="24"/>
      <c r="F968" s="22"/>
      <c r="G968" s="23"/>
      <c r="H968" s="24"/>
      <c r="J968" s="18" t="str">
        <f aca="false">IF(F968="","",F968*G968)</f>
        <v/>
      </c>
      <c r="K968" s="5" t="str">
        <f aca="false">IF(A968="","",IF(H968&lt;&gt;"",Assumptions!$D$5-H968,IF(C968="","",Assumptions!$D$5-(C968+Assumptions!$B$8))))</f>
        <v/>
      </c>
      <c r="L968" s="5" t="str">
        <f aca="false">IF(K968="","",IF(K968&lt;0,"Phase 1 (unliquidated)",IF(K968&lt;=Assumptions!$B$7,"Phase 1 (recently liquidated)",IF(K968&lt;=Assumptions!$B$6,"Protest required","Deadline passed — litigation only"))))</f>
        <v/>
      </c>
      <c r="M968" s="20" t="str">
        <f aca="false">IF(K968="","",IF(H968&lt;&gt;"",H968+Assumptions!$B$6,C968+Assumptions!$B$8+Assumptions!$B$6))</f>
        <v/>
      </c>
      <c r="N968" s="20" t="str">
        <f aca="false">IF(K968="","",IF(K968&lt;0,IF(H968&lt;&gt;"",H968+Assumptions!$B$7,C968+Assumptions!$B$8+Assumptions!$B$7),M968))</f>
        <v/>
      </c>
      <c r="O968" s="21" t="str">
        <f aca="false">IF(N968="","",N968-Assumptions!$D$5)</f>
        <v/>
      </c>
      <c r="P968" s="22"/>
      <c r="Q968" s="22"/>
      <c r="R968" s="18" t="str">
        <f aca="false">IF(Q968="","",Q968*IF(LEFT(L968,7)="Phase 1",Assumptions!$B$11,Assumptions!$B$12))</f>
        <v/>
      </c>
    </row>
    <row r="969" customFormat="false" ht="15" hidden="false" customHeight="true" outlineLevel="0" collapsed="false">
      <c r="C969" s="24"/>
      <c r="F969" s="22"/>
      <c r="G969" s="23"/>
      <c r="H969" s="24"/>
      <c r="J969" s="18" t="str">
        <f aca="false">IF(F969="","",F969*G969)</f>
        <v/>
      </c>
      <c r="K969" s="5" t="str">
        <f aca="false">IF(A969="","",IF(H969&lt;&gt;"",Assumptions!$D$5-H969,IF(C969="","",Assumptions!$D$5-(C969+Assumptions!$B$8))))</f>
        <v/>
      </c>
      <c r="L969" s="5" t="str">
        <f aca="false">IF(K969="","",IF(K969&lt;0,"Phase 1 (unliquidated)",IF(K969&lt;=Assumptions!$B$7,"Phase 1 (recently liquidated)",IF(K969&lt;=Assumptions!$B$6,"Protest required","Deadline passed — litigation only"))))</f>
        <v/>
      </c>
      <c r="M969" s="20" t="str">
        <f aca="false">IF(K969="","",IF(H969&lt;&gt;"",H969+Assumptions!$B$6,C969+Assumptions!$B$8+Assumptions!$B$6))</f>
        <v/>
      </c>
      <c r="N969" s="20" t="str">
        <f aca="false">IF(K969="","",IF(K969&lt;0,IF(H969&lt;&gt;"",H969+Assumptions!$B$7,C969+Assumptions!$B$8+Assumptions!$B$7),M969))</f>
        <v/>
      </c>
      <c r="O969" s="21" t="str">
        <f aca="false">IF(N969="","",N969-Assumptions!$D$5)</f>
        <v/>
      </c>
      <c r="P969" s="22"/>
      <c r="Q969" s="22"/>
      <c r="R969" s="18" t="str">
        <f aca="false">IF(Q969="","",Q969*IF(LEFT(L969,7)="Phase 1",Assumptions!$B$11,Assumptions!$B$12))</f>
        <v/>
      </c>
    </row>
    <row r="970" customFormat="false" ht="15" hidden="false" customHeight="true" outlineLevel="0" collapsed="false">
      <c r="C970" s="24"/>
      <c r="F970" s="22"/>
      <c r="G970" s="23"/>
      <c r="H970" s="24"/>
      <c r="J970" s="18" t="str">
        <f aca="false">IF(F970="","",F970*G970)</f>
        <v/>
      </c>
      <c r="K970" s="5" t="str">
        <f aca="false">IF(A970="","",IF(H970&lt;&gt;"",Assumptions!$D$5-H970,IF(C970="","",Assumptions!$D$5-(C970+Assumptions!$B$8))))</f>
        <v/>
      </c>
      <c r="L970" s="5" t="str">
        <f aca="false">IF(K970="","",IF(K970&lt;0,"Phase 1 (unliquidated)",IF(K970&lt;=Assumptions!$B$7,"Phase 1 (recently liquidated)",IF(K970&lt;=Assumptions!$B$6,"Protest required","Deadline passed — litigation only"))))</f>
        <v/>
      </c>
      <c r="M970" s="20" t="str">
        <f aca="false">IF(K970="","",IF(H970&lt;&gt;"",H970+Assumptions!$B$6,C970+Assumptions!$B$8+Assumptions!$B$6))</f>
        <v/>
      </c>
      <c r="N970" s="20" t="str">
        <f aca="false">IF(K970="","",IF(K970&lt;0,IF(H970&lt;&gt;"",H970+Assumptions!$B$7,C970+Assumptions!$B$8+Assumptions!$B$7),M970))</f>
        <v/>
      </c>
      <c r="O970" s="21" t="str">
        <f aca="false">IF(N970="","",N970-Assumptions!$D$5)</f>
        <v/>
      </c>
      <c r="P970" s="22"/>
      <c r="Q970" s="22"/>
      <c r="R970" s="18" t="str">
        <f aca="false">IF(Q970="","",Q970*IF(LEFT(L970,7)="Phase 1",Assumptions!$B$11,Assumptions!$B$12))</f>
        <v/>
      </c>
    </row>
    <row r="971" customFormat="false" ht="15" hidden="false" customHeight="true" outlineLevel="0" collapsed="false">
      <c r="C971" s="24"/>
      <c r="F971" s="22"/>
      <c r="G971" s="23"/>
      <c r="H971" s="24"/>
      <c r="J971" s="18" t="str">
        <f aca="false">IF(F971="","",F971*G971)</f>
        <v/>
      </c>
      <c r="K971" s="5" t="str">
        <f aca="false">IF(A971="","",IF(H971&lt;&gt;"",Assumptions!$D$5-H971,IF(C971="","",Assumptions!$D$5-(C971+Assumptions!$B$8))))</f>
        <v/>
      </c>
      <c r="L971" s="5" t="str">
        <f aca="false">IF(K971="","",IF(K971&lt;0,"Phase 1 (unliquidated)",IF(K971&lt;=Assumptions!$B$7,"Phase 1 (recently liquidated)",IF(K971&lt;=Assumptions!$B$6,"Protest required","Deadline passed — litigation only"))))</f>
        <v/>
      </c>
      <c r="M971" s="20" t="str">
        <f aca="false">IF(K971="","",IF(H971&lt;&gt;"",H971+Assumptions!$B$6,C971+Assumptions!$B$8+Assumptions!$B$6))</f>
        <v/>
      </c>
      <c r="N971" s="20" t="str">
        <f aca="false">IF(K971="","",IF(K971&lt;0,IF(H971&lt;&gt;"",H971+Assumptions!$B$7,C971+Assumptions!$B$8+Assumptions!$B$7),M971))</f>
        <v/>
      </c>
      <c r="O971" s="21" t="str">
        <f aca="false">IF(N971="","",N971-Assumptions!$D$5)</f>
        <v/>
      </c>
      <c r="P971" s="22"/>
      <c r="Q971" s="22"/>
      <c r="R971" s="18" t="str">
        <f aca="false">IF(Q971="","",Q971*IF(LEFT(L971,7)="Phase 1",Assumptions!$B$11,Assumptions!$B$12))</f>
        <v/>
      </c>
    </row>
    <row r="972" customFormat="false" ht="15" hidden="false" customHeight="true" outlineLevel="0" collapsed="false">
      <c r="C972" s="24"/>
      <c r="F972" s="22"/>
      <c r="G972" s="23"/>
      <c r="H972" s="24"/>
      <c r="J972" s="18" t="str">
        <f aca="false">IF(F972="","",F972*G972)</f>
        <v/>
      </c>
      <c r="K972" s="5" t="str">
        <f aca="false">IF(A972="","",IF(H972&lt;&gt;"",Assumptions!$D$5-H972,IF(C972="","",Assumptions!$D$5-(C972+Assumptions!$B$8))))</f>
        <v/>
      </c>
      <c r="L972" s="5" t="str">
        <f aca="false">IF(K972="","",IF(K972&lt;0,"Phase 1 (unliquidated)",IF(K972&lt;=Assumptions!$B$7,"Phase 1 (recently liquidated)",IF(K972&lt;=Assumptions!$B$6,"Protest required","Deadline passed — litigation only"))))</f>
        <v/>
      </c>
      <c r="M972" s="20" t="str">
        <f aca="false">IF(K972="","",IF(H972&lt;&gt;"",H972+Assumptions!$B$6,C972+Assumptions!$B$8+Assumptions!$B$6))</f>
        <v/>
      </c>
      <c r="N972" s="20" t="str">
        <f aca="false">IF(K972="","",IF(K972&lt;0,IF(H972&lt;&gt;"",H972+Assumptions!$B$7,C972+Assumptions!$B$8+Assumptions!$B$7),M972))</f>
        <v/>
      </c>
      <c r="O972" s="21" t="str">
        <f aca="false">IF(N972="","",N972-Assumptions!$D$5)</f>
        <v/>
      </c>
      <c r="P972" s="22"/>
      <c r="Q972" s="22"/>
      <c r="R972" s="18" t="str">
        <f aca="false">IF(Q972="","",Q972*IF(LEFT(L972,7)="Phase 1",Assumptions!$B$11,Assumptions!$B$12))</f>
        <v/>
      </c>
    </row>
    <row r="973" customFormat="false" ht="15" hidden="false" customHeight="true" outlineLevel="0" collapsed="false">
      <c r="C973" s="24"/>
      <c r="F973" s="22"/>
      <c r="G973" s="23"/>
      <c r="H973" s="24"/>
      <c r="J973" s="18" t="str">
        <f aca="false">IF(F973="","",F973*G973)</f>
        <v/>
      </c>
      <c r="K973" s="5" t="str">
        <f aca="false">IF(A973="","",IF(H973&lt;&gt;"",Assumptions!$D$5-H973,IF(C973="","",Assumptions!$D$5-(C973+Assumptions!$B$8))))</f>
        <v/>
      </c>
      <c r="L973" s="5" t="str">
        <f aca="false">IF(K973="","",IF(K973&lt;0,"Phase 1 (unliquidated)",IF(K973&lt;=Assumptions!$B$7,"Phase 1 (recently liquidated)",IF(K973&lt;=Assumptions!$B$6,"Protest required","Deadline passed — litigation only"))))</f>
        <v/>
      </c>
      <c r="M973" s="20" t="str">
        <f aca="false">IF(K973="","",IF(H973&lt;&gt;"",H973+Assumptions!$B$6,C973+Assumptions!$B$8+Assumptions!$B$6))</f>
        <v/>
      </c>
      <c r="N973" s="20" t="str">
        <f aca="false">IF(K973="","",IF(K973&lt;0,IF(H973&lt;&gt;"",H973+Assumptions!$B$7,C973+Assumptions!$B$8+Assumptions!$B$7),M973))</f>
        <v/>
      </c>
      <c r="O973" s="21" t="str">
        <f aca="false">IF(N973="","",N973-Assumptions!$D$5)</f>
        <v/>
      </c>
      <c r="P973" s="22"/>
      <c r="Q973" s="22"/>
      <c r="R973" s="18" t="str">
        <f aca="false">IF(Q973="","",Q973*IF(LEFT(L973,7)="Phase 1",Assumptions!$B$11,Assumptions!$B$12))</f>
        <v/>
      </c>
    </row>
    <row r="974" customFormat="false" ht="15" hidden="false" customHeight="true" outlineLevel="0" collapsed="false">
      <c r="C974" s="24"/>
      <c r="F974" s="22"/>
      <c r="G974" s="23"/>
      <c r="H974" s="24"/>
      <c r="J974" s="18" t="str">
        <f aca="false">IF(F974="","",F974*G974)</f>
        <v/>
      </c>
      <c r="K974" s="5" t="str">
        <f aca="false">IF(A974="","",IF(H974&lt;&gt;"",Assumptions!$D$5-H974,IF(C974="","",Assumptions!$D$5-(C974+Assumptions!$B$8))))</f>
        <v/>
      </c>
      <c r="L974" s="5" t="str">
        <f aca="false">IF(K974="","",IF(K974&lt;0,"Phase 1 (unliquidated)",IF(K974&lt;=Assumptions!$B$7,"Phase 1 (recently liquidated)",IF(K974&lt;=Assumptions!$B$6,"Protest required","Deadline passed — litigation only"))))</f>
        <v/>
      </c>
      <c r="M974" s="20" t="str">
        <f aca="false">IF(K974="","",IF(H974&lt;&gt;"",H974+Assumptions!$B$6,C974+Assumptions!$B$8+Assumptions!$B$6))</f>
        <v/>
      </c>
      <c r="N974" s="20" t="str">
        <f aca="false">IF(K974="","",IF(K974&lt;0,IF(H974&lt;&gt;"",H974+Assumptions!$B$7,C974+Assumptions!$B$8+Assumptions!$B$7),M974))</f>
        <v/>
      </c>
      <c r="O974" s="21" t="str">
        <f aca="false">IF(N974="","",N974-Assumptions!$D$5)</f>
        <v/>
      </c>
      <c r="P974" s="22"/>
      <c r="Q974" s="22"/>
      <c r="R974" s="18" t="str">
        <f aca="false">IF(Q974="","",Q974*IF(LEFT(L974,7)="Phase 1",Assumptions!$B$11,Assumptions!$B$12))</f>
        <v/>
      </c>
    </row>
    <row r="975" customFormat="false" ht="15" hidden="false" customHeight="true" outlineLevel="0" collapsed="false">
      <c r="C975" s="24"/>
      <c r="F975" s="22"/>
      <c r="G975" s="23"/>
      <c r="H975" s="24"/>
      <c r="J975" s="18" t="str">
        <f aca="false">IF(F975="","",F975*G975)</f>
        <v/>
      </c>
      <c r="K975" s="5" t="str">
        <f aca="false">IF(A975="","",IF(H975&lt;&gt;"",Assumptions!$D$5-H975,IF(C975="","",Assumptions!$D$5-(C975+Assumptions!$B$8))))</f>
        <v/>
      </c>
      <c r="L975" s="5" t="str">
        <f aca="false">IF(K975="","",IF(K975&lt;0,"Phase 1 (unliquidated)",IF(K975&lt;=Assumptions!$B$7,"Phase 1 (recently liquidated)",IF(K975&lt;=Assumptions!$B$6,"Protest required","Deadline passed — litigation only"))))</f>
        <v/>
      </c>
      <c r="M975" s="20" t="str">
        <f aca="false">IF(K975="","",IF(H975&lt;&gt;"",H975+Assumptions!$B$6,C975+Assumptions!$B$8+Assumptions!$B$6))</f>
        <v/>
      </c>
      <c r="N975" s="20" t="str">
        <f aca="false">IF(K975="","",IF(K975&lt;0,IF(H975&lt;&gt;"",H975+Assumptions!$B$7,C975+Assumptions!$B$8+Assumptions!$B$7),M975))</f>
        <v/>
      </c>
      <c r="O975" s="21" t="str">
        <f aca="false">IF(N975="","",N975-Assumptions!$D$5)</f>
        <v/>
      </c>
      <c r="P975" s="22"/>
      <c r="Q975" s="22"/>
      <c r="R975" s="18" t="str">
        <f aca="false">IF(Q975="","",Q975*IF(LEFT(L975,7)="Phase 1",Assumptions!$B$11,Assumptions!$B$12))</f>
        <v/>
      </c>
    </row>
    <row r="976" customFormat="false" ht="15" hidden="false" customHeight="true" outlineLevel="0" collapsed="false">
      <c r="C976" s="24"/>
      <c r="F976" s="22"/>
      <c r="G976" s="23"/>
      <c r="H976" s="24"/>
      <c r="J976" s="18" t="str">
        <f aca="false">IF(F976="","",F976*G976)</f>
        <v/>
      </c>
      <c r="K976" s="5" t="str">
        <f aca="false">IF(A976="","",IF(H976&lt;&gt;"",Assumptions!$D$5-H976,IF(C976="","",Assumptions!$D$5-(C976+Assumptions!$B$8))))</f>
        <v/>
      </c>
      <c r="L976" s="5" t="str">
        <f aca="false">IF(K976="","",IF(K976&lt;0,"Phase 1 (unliquidated)",IF(K976&lt;=Assumptions!$B$7,"Phase 1 (recently liquidated)",IF(K976&lt;=Assumptions!$B$6,"Protest required","Deadline passed — litigation only"))))</f>
        <v/>
      </c>
      <c r="M976" s="20" t="str">
        <f aca="false">IF(K976="","",IF(H976&lt;&gt;"",H976+Assumptions!$B$6,C976+Assumptions!$B$8+Assumptions!$B$6))</f>
        <v/>
      </c>
      <c r="N976" s="20" t="str">
        <f aca="false">IF(K976="","",IF(K976&lt;0,IF(H976&lt;&gt;"",H976+Assumptions!$B$7,C976+Assumptions!$B$8+Assumptions!$B$7),M976))</f>
        <v/>
      </c>
      <c r="O976" s="21" t="str">
        <f aca="false">IF(N976="","",N976-Assumptions!$D$5)</f>
        <v/>
      </c>
      <c r="P976" s="22"/>
      <c r="Q976" s="22"/>
      <c r="R976" s="18" t="str">
        <f aca="false">IF(Q976="","",Q976*IF(LEFT(L976,7)="Phase 1",Assumptions!$B$11,Assumptions!$B$12))</f>
        <v/>
      </c>
    </row>
    <row r="977" customFormat="false" ht="15" hidden="false" customHeight="true" outlineLevel="0" collapsed="false">
      <c r="C977" s="24"/>
      <c r="F977" s="22"/>
      <c r="G977" s="23"/>
      <c r="H977" s="24"/>
      <c r="J977" s="18" t="str">
        <f aca="false">IF(F977="","",F977*G977)</f>
        <v/>
      </c>
      <c r="K977" s="5" t="str">
        <f aca="false">IF(A977="","",IF(H977&lt;&gt;"",Assumptions!$D$5-H977,IF(C977="","",Assumptions!$D$5-(C977+Assumptions!$B$8))))</f>
        <v/>
      </c>
      <c r="L977" s="5" t="str">
        <f aca="false">IF(K977="","",IF(K977&lt;0,"Phase 1 (unliquidated)",IF(K977&lt;=Assumptions!$B$7,"Phase 1 (recently liquidated)",IF(K977&lt;=Assumptions!$B$6,"Protest required","Deadline passed — litigation only"))))</f>
        <v/>
      </c>
      <c r="M977" s="20" t="str">
        <f aca="false">IF(K977="","",IF(H977&lt;&gt;"",H977+Assumptions!$B$6,C977+Assumptions!$B$8+Assumptions!$B$6))</f>
        <v/>
      </c>
      <c r="N977" s="20" t="str">
        <f aca="false">IF(K977="","",IF(K977&lt;0,IF(H977&lt;&gt;"",H977+Assumptions!$B$7,C977+Assumptions!$B$8+Assumptions!$B$7),M977))</f>
        <v/>
      </c>
      <c r="O977" s="21" t="str">
        <f aca="false">IF(N977="","",N977-Assumptions!$D$5)</f>
        <v/>
      </c>
      <c r="P977" s="22"/>
      <c r="Q977" s="22"/>
      <c r="R977" s="18" t="str">
        <f aca="false">IF(Q977="","",Q977*IF(LEFT(L977,7)="Phase 1",Assumptions!$B$11,Assumptions!$B$12))</f>
        <v/>
      </c>
    </row>
    <row r="978" customFormat="false" ht="15" hidden="false" customHeight="true" outlineLevel="0" collapsed="false">
      <c r="C978" s="24"/>
      <c r="F978" s="22"/>
      <c r="G978" s="23"/>
      <c r="H978" s="24"/>
      <c r="J978" s="18" t="str">
        <f aca="false">IF(F978="","",F978*G978)</f>
        <v/>
      </c>
      <c r="K978" s="5" t="str">
        <f aca="false">IF(A978="","",IF(H978&lt;&gt;"",Assumptions!$D$5-H978,IF(C978="","",Assumptions!$D$5-(C978+Assumptions!$B$8))))</f>
        <v/>
      </c>
      <c r="L978" s="5" t="str">
        <f aca="false">IF(K978="","",IF(K978&lt;0,"Phase 1 (unliquidated)",IF(K978&lt;=Assumptions!$B$7,"Phase 1 (recently liquidated)",IF(K978&lt;=Assumptions!$B$6,"Protest required","Deadline passed — litigation only"))))</f>
        <v/>
      </c>
      <c r="M978" s="20" t="str">
        <f aca="false">IF(K978="","",IF(H978&lt;&gt;"",H978+Assumptions!$B$6,C978+Assumptions!$B$8+Assumptions!$B$6))</f>
        <v/>
      </c>
      <c r="N978" s="20" t="str">
        <f aca="false">IF(K978="","",IF(K978&lt;0,IF(H978&lt;&gt;"",H978+Assumptions!$B$7,C978+Assumptions!$B$8+Assumptions!$B$7),M978))</f>
        <v/>
      </c>
      <c r="O978" s="21" t="str">
        <f aca="false">IF(N978="","",N978-Assumptions!$D$5)</f>
        <v/>
      </c>
      <c r="P978" s="22"/>
      <c r="Q978" s="22"/>
      <c r="R978" s="18" t="str">
        <f aca="false">IF(Q978="","",Q978*IF(LEFT(L978,7)="Phase 1",Assumptions!$B$11,Assumptions!$B$12))</f>
        <v/>
      </c>
    </row>
    <row r="979" customFormat="false" ht="15" hidden="false" customHeight="true" outlineLevel="0" collapsed="false">
      <c r="C979" s="24"/>
      <c r="F979" s="22"/>
      <c r="G979" s="23"/>
      <c r="H979" s="24"/>
      <c r="J979" s="18" t="str">
        <f aca="false">IF(F979="","",F979*G979)</f>
        <v/>
      </c>
      <c r="K979" s="5" t="str">
        <f aca="false">IF(A979="","",IF(H979&lt;&gt;"",Assumptions!$D$5-H979,IF(C979="","",Assumptions!$D$5-(C979+Assumptions!$B$8))))</f>
        <v/>
      </c>
      <c r="L979" s="5" t="str">
        <f aca="false">IF(K979="","",IF(K979&lt;0,"Phase 1 (unliquidated)",IF(K979&lt;=Assumptions!$B$7,"Phase 1 (recently liquidated)",IF(K979&lt;=Assumptions!$B$6,"Protest required","Deadline passed — litigation only"))))</f>
        <v/>
      </c>
      <c r="M979" s="20" t="str">
        <f aca="false">IF(K979="","",IF(H979&lt;&gt;"",H979+Assumptions!$B$6,C979+Assumptions!$B$8+Assumptions!$B$6))</f>
        <v/>
      </c>
      <c r="N979" s="20" t="str">
        <f aca="false">IF(K979="","",IF(K979&lt;0,IF(H979&lt;&gt;"",H979+Assumptions!$B$7,C979+Assumptions!$B$8+Assumptions!$B$7),M979))</f>
        <v/>
      </c>
      <c r="O979" s="21" t="str">
        <f aca="false">IF(N979="","",N979-Assumptions!$D$5)</f>
        <v/>
      </c>
      <c r="P979" s="22"/>
      <c r="Q979" s="22"/>
      <c r="R979" s="18" t="str">
        <f aca="false">IF(Q979="","",Q979*IF(LEFT(L979,7)="Phase 1",Assumptions!$B$11,Assumptions!$B$12))</f>
        <v/>
      </c>
    </row>
    <row r="980" customFormat="false" ht="15" hidden="false" customHeight="true" outlineLevel="0" collapsed="false">
      <c r="C980" s="24"/>
      <c r="F980" s="22"/>
      <c r="G980" s="23"/>
      <c r="H980" s="24"/>
      <c r="J980" s="18" t="str">
        <f aca="false">IF(F980="","",F980*G980)</f>
        <v/>
      </c>
      <c r="K980" s="5" t="str">
        <f aca="false">IF(A980="","",IF(H980&lt;&gt;"",Assumptions!$D$5-H980,IF(C980="","",Assumptions!$D$5-(C980+Assumptions!$B$8))))</f>
        <v/>
      </c>
      <c r="L980" s="5" t="str">
        <f aca="false">IF(K980="","",IF(K980&lt;0,"Phase 1 (unliquidated)",IF(K980&lt;=Assumptions!$B$7,"Phase 1 (recently liquidated)",IF(K980&lt;=Assumptions!$B$6,"Protest required","Deadline passed — litigation only"))))</f>
        <v/>
      </c>
      <c r="M980" s="20" t="str">
        <f aca="false">IF(K980="","",IF(H980&lt;&gt;"",H980+Assumptions!$B$6,C980+Assumptions!$B$8+Assumptions!$B$6))</f>
        <v/>
      </c>
      <c r="N980" s="20" t="str">
        <f aca="false">IF(K980="","",IF(K980&lt;0,IF(H980&lt;&gt;"",H980+Assumptions!$B$7,C980+Assumptions!$B$8+Assumptions!$B$7),M980))</f>
        <v/>
      </c>
      <c r="O980" s="21" t="str">
        <f aca="false">IF(N980="","",N980-Assumptions!$D$5)</f>
        <v/>
      </c>
      <c r="P980" s="22"/>
      <c r="Q980" s="22"/>
      <c r="R980" s="18" t="str">
        <f aca="false">IF(Q980="","",Q980*IF(LEFT(L980,7)="Phase 1",Assumptions!$B$11,Assumptions!$B$12))</f>
        <v/>
      </c>
    </row>
    <row r="981" customFormat="false" ht="15" hidden="false" customHeight="true" outlineLevel="0" collapsed="false">
      <c r="C981" s="24"/>
      <c r="F981" s="22"/>
      <c r="G981" s="23"/>
      <c r="H981" s="24"/>
      <c r="J981" s="18" t="str">
        <f aca="false">IF(F981="","",F981*G981)</f>
        <v/>
      </c>
      <c r="K981" s="5" t="str">
        <f aca="false">IF(A981="","",IF(H981&lt;&gt;"",Assumptions!$D$5-H981,IF(C981="","",Assumptions!$D$5-(C981+Assumptions!$B$8))))</f>
        <v/>
      </c>
      <c r="L981" s="5" t="str">
        <f aca="false">IF(K981="","",IF(K981&lt;0,"Phase 1 (unliquidated)",IF(K981&lt;=Assumptions!$B$7,"Phase 1 (recently liquidated)",IF(K981&lt;=Assumptions!$B$6,"Protest required","Deadline passed — litigation only"))))</f>
        <v/>
      </c>
      <c r="M981" s="20" t="str">
        <f aca="false">IF(K981="","",IF(H981&lt;&gt;"",H981+Assumptions!$B$6,C981+Assumptions!$B$8+Assumptions!$B$6))</f>
        <v/>
      </c>
      <c r="N981" s="20" t="str">
        <f aca="false">IF(K981="","",IF(K981&lt;0,IF(H981&lt;&gt;"",H981+Assumptions!$B$7,C981+Assumptions!$B$8+Assumptions!$B$7),M981))</f>
        <v/>
      </c>
      <c r="O981" s="21" t="str">
        <f aca="false">IF(N981="","",N981-Assumptions!$D$5)</f>
        <v/>
      </c>
      <c r="P981" s="22"/>
      <c r="Q981" s="22"/>
      <c r="R981" s="18" t="str">
        <f aca="false">IF(Q981="","",Q981*IF(LEFT(L981,7)="Phase 1",Assumptions!$B$11,Assumptions!$B$12))</f>
        <v/>
      </c>
    </row>
    <row r="982" customFormat="false" ht="15" hidden="false" customHeight="true" outlineLevel="0" collapsed="false">
      <c r="C982" s="24"/>
      <c r="F982" s="22"/>
      <c r="G982" s="23"/>
      <c r="H982" s="24"/>
      <c r="J982" s="18" t="str">
        <f aca="false">IF(F982="","",F982*G982)</f>
        <v/>
      </c>
      <c r="K982" s="5" t="str">
        <f aca="false">IF(A982="","",IF(H982&lt;&gt;"",Assumptions!$D$5-H982,IF(C982="","",Assumptions!$D$5-(C982+Assumptions!$B$8))))</f>
        <v/>
      </c>
      <c r="L982" s="5" t="str">
        <f aca="false">IF(K982="","",IF(K982&lt;0,"Phase 1 (unliquidated)",IF(K982&lt;=Assumptions!$B$7,"Phase 1 (recently liquidated)",IF(K982&lt;=Assumptions!$B$6,"Protest required","Deadline passed — litigation only"))))</f>
        <v/>
      </c>
      <c r="M982" s="20" t="str">
        <f aca="false">IF(K982="","",IF(H982&lt;&gt;"",H982+Assumptions!$B$6,C982+Assumptions!$B$8+Assumptions!$B$6))</f>
        <v/>
      </c>
      <c r="N982" s="20" t="str">
        <f aca="false">IF(K982="","",IF(K982&lt;0,IF(H982&lt;&gt;"",H982+Assumptions!$B$7,C982+Assumptions!$B$8+Assumptions!$B$7),M982))</f>
        <v/>
      </c>
      <c r="O982" s="21" t="str">
        <f aca="false">IF(N982="","",N982-Assumptions!$D$5)</f>
        <v/>
      </c>
      <c r="P982" s="22"/>
      <c r="Q982" s="22"/>
      <c r="R982" s="18" t="str">
        <f aca="false">IF(Q982="","",Q982*IF(LEFT(L982,7)="Phase 1",Assumptions!$B$11,Assumptions!$B$12))</f>
        <v/>
      </c>
    </row>
    <row r="983" customFormat="false" ht="15" hidden="false" customHeight="true" outlineLevel="0" collapsed="false">
      <c r="C983" s="24"/>
      <c r="F983" s="22"/>
      <c r="G983" s="23"/>
      <c r="H983" s="24"/>
      <c r="J983" s="18" t="str">
        <f aca="false">IF(F983="","",F983*G983)</f>
        <v/>
      </c>
      <c r="K983" s="5" t="str">
        <f aca="false">IF(A983="","",IF(H983&lt;&gt;"",Assumptions!$D$5-H983,IF(C983="","",Assumptions!$D$5-(C983+Assumptions!$B$8))))</f>
        <v/>
      </c>
      <c r="L983" s="5" t="str">
        <f aca="false">IF(K983="","",IF(K983&lt;0,"Phase 1 (unliquidated)",IF(K983&lt;=Assumptions!$B$7,"Phase 1 (recently liquidated)",IF(K983&lt;=Assumptions!$B$6,"Protest required","Deadline passed — litigation only"))))</f>
        <v/>
      </c>
      <c r="M983" s="20" t="str">
        <f aca="false">IF(K983="","",IF(H983&lt;&gt;"",H983+Assumptions!$B$6,C983+Assumptions!$B$8+Assumptions!$B$6))</f>
        <v/>
      </c>
      <c r="N983" s="20" t="str">
        <f aca="false">IF(K983="","",IF(K983&lt;0,IF(H983&lt;&gt;"",H983+Assumptions!$B$7,C983+Assumptions!$B$8+Assumptions!$B$7),M983))</f>
        <v/>
      </c>
      <c r="O983" s="21" t="str">
        <f aca="false">IF(N983="","",N983-Assumptions!$D$5)</f>
        <v/>
      </c>
      <c r="P983" s="22"/>
      <c r="Q983" s="22"/>
      <c r="R983" s="18" t="str">
        <f aca="false">IF(Q983="","",Q983*IF(LEFT(L983,7)="Phase 1",Assumptions!$B$11,Assumptions!$B$12))</f>
        <v/>
      </c>
    </row>
    <row r="984" customFormat="false" ht="15" hidden="false" customHeight="true" outlineLevel="0" collapsed="false">
      <c r="C984" s="24"/>
      <c r="F984" s="22"/>
      <c r="G984" s="23"/>
      <c r="H984" s="24"/>
      <c r="J984" s="18" t="str">
        <f aca="false">IF(F984="","",F984*G984)</f>
        <v/>
      </c>
      <c r="K984" s="5" t="str">
        <f aca="false">IF(A984="","",IF(H984&lt;&gt;"",Assumptions!$D$5-H984,IF(C984="","",Assumptions!$D$5-(C984+Assumptions!$B$8))))</f>
        <v/>
      </c>
      <c r="L984" s="5" t="str">
        <f aca="false">IF(K984="","",IF(K984&lt;0,"Phase 1 (unliquidated)",IF(K984&lt;=Assumptions!$B$7,"Phase 1 (recently liquidated)",IF(K984&lt;=Assumptions!$B$6,"Protest required","Deadline passed — litigation only"))))</f>
        <v/>
      </c>
      <c r="M984" s="20" t="str">
        <f aca="false">IF(K984="","",IF(H984&lt;&gt;"",H984+Assumptions!$B$6,C984+Assumptions!$B$8+Assumptions!$B$6))</f>
        <v/>
      </c>
      <c r="N984" s="20" t="str">
        <f aca="false">IF(K984="","",IF(K984&lt;0,IF(H984&lt;&gt;"",H984+Assumptions!$B$7,C984+Assumptions!$B$8+Assumptions!$B$7),M984))</f>
        <v/>
      </c>
      <c r="O984" s="21" t="str">
        <f aca="false">IF(N984="","",N984-Assumptions!$D$5)</f>
        <v/>
      </c>
      <c r="P984" s="22"/>
      <c r="Q984" s="22"/>
      <c r="R984" s="18" t="str">
        <f aca="false">IF(Q984="","",Q984*IF(LEFT(L984,7)="Phase 1",Assumptions!$B$11,Assumptions!$B$12))</f>
        <v/>
      </c>
    </row>
    <row r="985" customFormat="false" ht="15" hidden="false" customHeight="true" outlineLevel="0" collapsed="false">
      <c r="C985" s="24"/>
      <c r="F985" s="22"/>
      <c r="G985" s="23"/>
      <c r="H985" s="24"/>
      <c r="J985" s="18" t="str">
        <f aca="false">IF(F985="","",F985*G985)</f>
        <v/>
      </c>
      <c r="K985" s="5" t="str">
        <f aca="false">IF(A985="","",IF(H985&lt;&gt;"",Assumptions!$D$5-H985,IF(C985="","",Assumptions!$D$5-(C985+Assumptions!$B$8))))</f>
        <v/>
      </c>
      <c r="L985" s="5" t="str">
        <f aca="false">IF(K985="","",IF(K985&lt;0,"Phase 1 (unliquidated)",IF(K985&lt;=Assumptions!$B$7,"Phase 1 (recently liquidated)",IF(K985&lt;=Assumptions!$B$6,"Protest required","Deadline passed — litigation only"))))</f>
        <v/>
      </c>
      <c r="M985" s="20" t="str">
        <f aca="false">IF(K985="","",IF(H985&lt;&gt;"",H985+Assumptions!$B$6,C985+Assumptions!$B$8+Assumptions!$B$6))</f>
        <v/>
      </c>
      <c r="N985" s="20" t="str">
        <f aca="false">IF(K985="","",IF(K985&lt;0,IF(H985&lt;&gt;"",H985+Assumptions!$B$7,C985+Assumptions!$B$8+Assumptions!$B$7),M985))</f>
        <v/>
      </c>
      <c r="O985" s="21" t="str">
        <f aca="false">IF(N985="","",N985-Assumptions!$D$5)</f>
        <v/>
      </c>
      <c r="P985" s="22"/>
      <c r="Q985" s="22"/>
      <c r="R985" s="18" t="str">
        <f aca="false">IF(Q985="","",Q985*IF(LEFT(L985,7)="Phase 1",Assumptions!$B$11,Assumptions!$B$12))</f>
        <v/>
      </c>
    </row>
    <row r="986" customFormat="false" ht="15" hidden="false" customHeight="true" outlineLevel="0" collapsed="false">
      <c r="C986" s="24"/>
      <c r="F986" s="22"/>
      <c r="G986" s="23"/>
      <c r="H986" s="24"/>
      <c r="J986" s="18" t="str">
        <f aca="false">IF(F986="","",F986*G986)</f>
        <v/>
      </c>
      <c r="K986" s="5" t="str">
        <f aca="false">IF(A986="","",IF(H986&lt;&gt;"",Assumptions!$D$5-H986,IF(C986="","",Assumptions!$D$5-(C986+Assumptions!$B$8))))</f>
        <v/>
      </c>
      <c r="L986" s="5" t="str">
        <f aca="false">IF(K986="","",IF(K986&lt;0,"Phase 1 (unliquidated)",IF(K986&lt;=Assumptions!$B$7,"Phase 1 (recently liquidated)",IF(K986&lt;=Assumptions!$B$6,"Protest required","Deadline passed — litigation only"))))</f>
        <v/>
      </c>
      <c r="M986" s="20" t="str">
        <f aca="false">IF(K986="","",IF(H986&lt;&gt;"",H986+Assumptions!$B$6,C986+Assumptions!$B$8+Assumptions!$B$6))</f>
        <v/>
      </c>
      <c r="N986" s="20" t="str">
        <f aca="false">IF(K986="","",IF(K986&lt;0,IF(H986&lt;&gt;"",H986+Assumptions!$B$7,C986+Assumptions!$B$8+Assumptions!$B$7),M986))</f>
        <v/>
      </c>
      <c r="O986" s="21" t="str">
        <f aca="false">IF(N986="","",N986-Assumptions!$D$5)</f>
        <v/>
      </c>
      <c r="P986" s="22"/>
      <c r="Q986" s="22"/>
      <c r="R986" s="18" t="str">
        <f aca="false">IF(Q986="","",Q986*IF(LEFT(L986,7)="Phase 1",Assumptions!$B$11,Assumptions!$B$12))</f>
        <v/>
      </c>
    </row>
    <row r="987" customFormat="false" ht="15" hidden="false" customHeight="true" outlineLevel="0" collapsed="false">
      <c r="C987" s="24"/>
      <c r="F987" s="22"/>
      <c r="G987" s="23"/>
      <c r="H987" s="24"/>
      <c r="J987" s="18" t="str">
        <f aca="false">IF(F987="","",F987*G987)</f>
        <v/>
      </c>
      <c r="K987" s="5" t="str">
        <f aca="false">IF(A987="","",IF(H987&lt;&gt;"",Assumptions!$D$5-H987,IF(C987="","",Assumptions!$D$5-(C987+Assumptions!$B$8))))</f>
        <v/>
      </c>
      <c r="L987" s="5" t="str">
        <f aca="false">IF(K987="","",IF(K987&lt;0,"Phase 1 (unliquidated)",IF(K987&lt;=Assumptions!$B$7,"Phase 1 (recently liquidated)",IF(K987&lt;=Assumptions!$B$6,"Protest required","Deadline passed — litigation only"))))</f>
        <v/>
      </c>
      <c r="M987" s="20" t="str">
        <f aca="false">IF(K987="","",IF(H987&lt;&gt;"",H987+Assumptions!$B$6,C987+Assumptions!$B$8+Assumptions!$B$6))</f>
        <v/>
      </c>
      <c r="N987" s="20" t="str">
        <f aca="false">IF(K987="","",IF(K987&lt;0,IF(H987&lt;&gt;"",H987+Assumptions!$B$7,C987+Assumptions!$B$8+Assumptions!$B$7),M987))</f>
        <v/>
      </c>
      <c r="O987" s="21" t="str">
        <f aca="false">IF(N987="","",N987-Assumptions!$D$5)</f>
        <v/>
      </c>
      <c r="P987" s="22"/>
      <c r="Q987" s="22"/>
      <c r="R987" s="18" t="str">
        <f aca="false">IF(Q987="","",Q987*IF(LEFT(L987,7)="Phase 1",Assumptions!$B$11,Assumptions!$B$12))</f>
        <v/>
      </c>
    </row>
    <row r="988" customFormat="false" ht="15" hidden="false" customHeight="true" outlineLevel="0" collapsed="false">
      <c r="C988" s="24"/>
      <c r="F988" s="22"/>
      <c r="G988" s="23"/>
      <c r="H988" s="24"/>
      <c r="J988" s="18" t="str">
        <f aca="false">IF(F988="","",F988*G988)</f>
        <v/>
      </c>
      <c r="K988" s="5" t="str">
        <f aca="false">IF(A988="","",IF(H988&lt;&gt;"",Assumptions!$D$5-H988,IF(C988="","",Assumptions!$D$5-(C988+Assumptions!$B$8))))</f>
        <v/>
      </c>
      <c r="L988" s="5" t="str">
        <f aca="false">IF(K988="","",IF(K988&lt;0,"Phase 1 (unliquidated)",IF(K988&lt;=Assumptions!$B$7,"Phase 1 (recently liquidated)",IF(K988&lt;=Assumptions!$B$6,"Protest required","Deadline passed — litigation only"))))</f>
        <v/>
      </c>
      <c r="M988" s="20" t="str">
        <f aca="false">IF(K988="","",IF(H988&lt;&gt;"",H988+Assumptions!$B$6,C988+Assumptions!$B$8+Assumptions!$B$6))</f>
        <v/>
      </c>
      <c r="N988" s="20" t="str">
        <f aca="false">IF(K988="","",IF(K988&lt;0,IF(H988&lt;&gt;"",H988+Assumptions!$B$7,C988+Assumptions!$B$8+Assumptions!$B$7),M988))</f>
        <v/>
      </c>
      <c r="O988" s="21" t="str">
        <f aca="false">IF(N988="","",N988-Assumptions!$D$5)</f>
        <v/>
      </c>
      <c r="P988" s="22"/>
      <c r="Q988" s="22"/>
      <c r="R988" s="18" t="str">
        <f aca="false">IF(Q988="","",Q988*IF(LEFT(L988,7)="Phase 1",Assumptions!$B$11,Assumptions!$B$12))</f>
        <v/>
      </c>
    </row>
    <row r="989" customFormat="false" ht="15" hidden="false" customHeight="true" outlineLevel="0" collapsed="false">
      <c r="C989" s="24"/>
      <c r="F989" s="22"/>
      <c r="G989" s="23"/>
      <c r="H989" s="24"/>
      <c r="J989" s="18" t="str">
        <f aca="false">IF(F989="","",F989*G989)</f>
        <v/>
      </c>
      <c r="K989" s="5" t="str">
        <f aca="false">IF(A989="","",IF(H989&lt;&gt;"",Assumptions!$D$5-H989,IF(C989="","",Assumptions!$D$5-(C989+Assumptions!$B$8))))</f>
        <v/>
      </c>
      <c r="L989" s="5" t="str">
        <f aca="false">IF(K989="","",IF(K989&lt;0,"Phase 1 (unliquidated)",IF(K989&lt;=Assumptions!$B$7,"Phase 1 (recently liquidated)",IF(K989&lt;=Assumptions!$B$6,"Protest required","Deadline passed — litigation only"))))</f>
        <v/>
      </c>
      <c r="M989" s="20" t="str">
        <f aca="false">IF(K989="","",IF(H989&lt;&gt;"",H989+Assumptions!$B$6,C989+Assumptions!$B$8+Assumptions!$B$6))</f>
        <v/>
      </c>
      <c r="N989" s="20" t="str">
        <f aca="false">IF(K989="","",IF(K989&lt;0,IF(H989&lt;&gt;"",H989+Assumptions!$B$7,C989+Assumptions!$B$8+Assumptions!$B$7),M989))</f>
        <v/>
      </c>
      <c r="O989" s="21" t="str">
        <f aca="false">IF(N989="","",N989-Assumptions!$D$5)</f>
        <v/>
      </c>
      <c r="P989" s="22"/>
      <c r="Q989" s="22"/>
      <c r="R989" s="18" t="str">
        <f aca="false">IF(Q989="","",Q989*IF(LEFT(L989,7)="Phase 1",Assumptions!$B$11,Assumptions!$B$12))</f>
        <v/>
      </c>
    </row>
    <row r="990" customFormat="false" ht="15" hidden="false" customHeight="true" outlineLevel="0" collapsed="false">
      <c r="C990" s="24"/>
      <c r="F990" s="22"/>
      <c r="G990" s="23"/>
      <c r="H990" s="24"/>
      <c r="J990" s="18" t="str">
        <f aca="false">IF(F990="","",F990*G990)</f>
        <v/>
      </c>
      <c r="K990" s="5" t="str">
        <f aca="false">IF(A990="","",IF(H990&lt;&gt;"",Assumptions!$D$5-H990,IF(C990="","",Assumptions!$D$5-(C990+Assumptions!$B$8))))</f>
        <v/>
      </c>
      <c r="L990" s="5" t="str">
        <f aca="false">IF(K990="","",IF(K990&lt;0,"Phase 1 (unliquidated)",IF(K990&lt;=Assumptions!$B$7,"Phase 1 (recently liquidated)",IF(K990&lt;=Assumptions!$B$6,"Protest required","Deadline passed — litigation only"))))</f>
        <v/>
      </c>
      <c r="M990" s="20" t="str">
        <f aca="false">IF(K990="","",IF(H990&lt;&gt;"",H990+Assumptions!$B$6,C990+Assumptions!$B$8+Assumptions!$B$6))</f>
        <v/>
      </c>
      <c r="N990" s="20" t="str">
        <f aca="false">IF(K990="","",IF(K990&lt;0,IF(H990&lt;&gt;"",H990+Assumptions!$B$7,C990+Assumptions!$B$8+Assumptions!$B$7),M990))</f>
        <v/>
      </c>
      <c r="O990" s="21" t="str">
        <f aca="false">IF(N990="","",N990-Assumptions!$D$5)</f>
        <v/>
      </c>
      <c r="P990" s="22"/>
      <c r="Q990" s="22"/>
      <c r="R990" s="18" t="str">
        <f aca="false">IF(Q990="","",Q990*IF(LEFT(L990,7)="Phase 1",Assumptions!$B$11,Assumptions!$B$12))</f>
        <v/>
      </c>
    </row>
    <row r="991" customFormat="false" ht="15" hidden="false" customHeight="true" outlineLevel="0" collapsed="false">
      <c r="C991" s="24"/>
      <c r="F991" s="22"/>
      <c r="G991" s="23"/>
      <c r="H991" s="24"/>
      <c r="J991" s="18" t="str">
        <f aca="false">IF(F991="","",F991*G991)</f>
        <v/>
      </c>
      <c r="K991" s="5" t="str">
        <f aca="false">IF(A991="","",IF(H991&lt;&gt;"",Assumptions!$D$5-H991,IF(C991="","",Assumptions!$D$5-(C991+Assumptions!$B$8))))</f>
        <v/>
      </c>
      <c r="L991" s="5" t="str">
        <f aca="false">IF(K991="","",IF(K991&lt;0,"Phase 1 (unliquidated)",IF(K991&lt;=Assumptions!$B$7,"Phase 1 (recently liquidated)",IF(K991&lt;=Assumptions!$B$6,"Protest required","Deadline passed — litigation only"))))</f>
        <v/>
      </c>
      <c r="M991" s="20" t="str">
        <f aca="false">IF(K991="","",IF(H991&lt;&gt;"",H991+Assumptions!$B$6,C991+Assumptions!$B$8+Assumptions!$B$6))</f>
        <v/>
      </c>
      <c r="N991" s="20" t="str">
        <f aca="false">IF(K991="","",IF(K991&lt;0,IF(H991&lt;&gt;"",H991+Assumptions!$B$7,C991+Assumptions!$B$8+Assumptions!$B$7),M991))</f>
        <v/>
      </c>
      <c r="O991" s="21" t="str">
        <f aca="false">IF(N991="","",N991-Assumptions!$D$5)</f>
        <v/>
      </c>
      <c r="P991" s="22"/>
      <c r="Q991" s="22"/>
      <c r="R991" s="18" t="str">
        <f aca="false">IF(Q991="","",Q991*IF(LEFT(L991,7)="Phase 1",Assumptions!$B$11,Assumptions!$B$12))</f>
        <v/>
      </c>
    </row>
    <row r="992" customFormat="false" ht="15" hidden="false" customHeight="true" outlineLevel="0" collapsed="false">
      <c r="C992" s="24"/>
      <c r="F992" s="22"/>
      <c r="G992" s="23"/>
      <c r="H992" s="24"/>
      <c r="J992" s="18" t="str">
        <f aca="false">IF(F992="","",F992*G992)</f>
        <v/>
      </c>
      <c r="K992" s="5" t="str">
        <f aca="false">IF(A992="","",IF(H992&lt;&gt;"",Assumptions!$D$5-H992,IF(C992="","",Assumptions!$D$5-(C992+Assumptions!$B$8))))</f>
        <v/>
      </c>
      <c r="L992" s="5" t="str">
        <f aca="false">IF(K992="","",IF(K992&lt;0,"Phase 1 (unliquidated)",IF(K992&lt;=Assumptions!$B$7,"Phase 1 (recently liquidated)",IF(K992&lt;=Assumptions!$B$6,"Protest required","Deadline passed — litigation only"))))</f>
        <v/>
      </c>
      <c r="M992" s="20" t="str">
        <f aca="false">IF(K992="","",IF(H992&lt;&gt;"",H992+Assumptions!$B$6,C992+Assumptions!$B$8+Assumptions!$B$6))</f>
        <v/>
      </c>
      <c r="N992" s="20" t="str">
        <f aca="false">IF(K992="","",IF(K992&lt;0,IF(H992&lt;&gt;"",H992+Assumptions!$B$7,C992+Assumptions!$B$8+Assumptions!$B$7),M992))</f>
        <v/>
      </c>
      <c r="O992" s="21" t="str">
        <f aca="false">IF(N992="","",N992-Assumptions!$D$5)</f>
        <v/>
      </c>
      <c r="P992" s="22"/>
      <c r="Q992" s="22"/>
      <c r="R992" s="18" t="str">
        <f aca="false">IF(Q992="","",Q992*IF(LEFT(L992,7)="Phase 1",Assumptions!$B$11,Assumptions!$B$12))</f>
        <v/>
      </c>
    </row>
    <row r="993" customFormat="false" ht="15" hidden="false" customHeight="true" outlineLevel="0" collapsed="false">
      <c r="C993" s="24"/>
      <c r="F993" s="22"/>
      <c r="G993" s="23"/>
      <c r="H993" s="24"/>
      <c r="J993" s="18" t="str">
        <f aca="false">IF(F993="","",F993*G993)</f>
        <v/>
      </c>
      <c r="K993" s="5" t="str">
        <f aca="false">IF(A993="","",IF(H993&lt;&gt;"",Assumptions!$D$5-H993,IF(C993="","",Assumptions!$D$5-(C993+Assumptions!$B$8))))</f>
        <v/>
      </c>
      <c r="L993" s="5" t="str">
        <f aca="false">IF(K993="","",IF(K993&lt;0,"Phase 1 (unliquidated)",IF(K993&lt;=Assumptions!$B$7,"Phase 1 (recently liquidated)",IF(K993&lt;=Assumptions!$B$6,"Protest required","Deadline passed — litigation only"))))</f>
        <v/>
      </c>
      <c r="M993" s="20" t="str">
        <f aca="false">IF(K993="","",IF(H993&lt;&gt;"",H993+Assumptions!$B$6,C993+Assumptions!$B$8+Assumptions!$B$6))</f>
        <v/>
      </c>
      <c r="N993" s="20" t="str">
        <f aca="false">IF(K993="","",IF(K993&lt;0,IF(H993&lt;&gt;"",H993+Assumptions!$B$7,C993+Assumptions!$B$8+Assumptions!$B$7),M993))</f>
        <v/>
      </c>
      <c r="O993" s="21" t="str">
        <f aca="false">IF(N993="","",N993-Assumptions!$D$5)</f>
        <v/>
      </c>
      <c r="P993" s="22"/>
      <c r="Q993" s="22"/>
      <c r="R993" s="18" t="str">
        <f aca="false">IF(Q993="","",Q993*IF(LEFT(L993,7)="Phase 1",Assumptions!$B$11,Assumptions!$B$12))</f>
        <v/>
      </c>
    </row>
    <row r="994" customFormat="false" ht="15" hidden="false" customHeight="true" outlineLevel="0" collapsed="false">
      <c r="C994" s="24"/>
      <c r="F994" s="22"/>
      <c r="G994" s="23"/>
      <c r="H994" s="24"/>
      <c r="J994" s="18" t="str">
        <f aca="false">IF(F994="","",F994*G994)</f>
        <v/>
      </c>
      <c r="K994" s="5" t="str">
        <f aca="false">IF(A994="","",IF(H994&lt;&gt;"",Assumptions!$D$5-H994,IF(C994="","",Assumptions!$D$5-(C994+Assumptions!$B$8))))</f>
        <v/>
      </c>
      <c r="L994" s="5" t="str">
        <f aca="false">IF(K994="","",IF(K994&lt;0,"Phase 1 (unliquidated)",IF(K994&lt;=Assumptions!$B$7,"Phase 1 (recently liquidated)",IF(K994&lt;=Assumptions!$B$6,"Protest required","Deadline passed — litigation only"))))</f>
        <v/>
      </c>
      <c r="M994" s="20" t="str">
        <f aca="false">IF(K994="","",IF(H994&lt;&gt;"",H994+Assumptions!$B$6,C994+Assumptions!$B$8+Assumptions!$B$6))</f>
        <v/>
      </c>
      <c r="N994" s="20" t="str">
        <f aca="false">IF(K994="","",IF(K994&lt;0,IF(H994&lt;&gt;"",H994+Assumptions!$B$7,C994+Assumptions!$B$8+Assumptions!$B$7),M994))</f>
        <v/>
      </c>
      <c r="O994" s="21" t="str">
        <f aca="false">IF(N994="","",N994-Assumptions!$D$5)</f>
        <v/>
      </c>
      <c r="P994" s="22"/>
      <c r="Q994" s="22"/>
      <c r="R994" s="18" t="str">
        <f aca="false">IF(Q994="","",Q994*IF(LEFT(L994,7)="Phase 1",Assumptions!$B$11,Assumptions!$B$12))</f>
        <v/>
      </c>
    </row>
    <row r="995" customFormat="false" ht="15" hidden="false" customHeight="true" outlineLevel="0" collapsed="false">
      <c r="C995" s="24"/>
      <c r="F995" s="22"/>
      <c r="G995" s="23"/>
      <c r="H995" s="24"/>
      <c r="J995" s="18" t="str">
        <f aca="false">IF(F995="","",F995*G995)</f>
        <v/>
      </c>
      <c r="K995" s="5" t="str">
        <f aca="false">IF(A995="","",IF(H995&lt;&gt;"",Assumptions!$D$5-H995,IF(C995="","",Assumptions!$D$5-(C995+Assumptions!$B$8))))</f>
        <v/>
      </c>
      <c r="L995" s="5" t="str">
        <f aca="false">IF(K995="","",IF(K995&lt;0,"Phase 1 (unliquidated)",IF(K995&lt;=Assumptions!$B$7,"Phase 1 (recently liquidated)",IF(K995&lt;=Assumptions!$B$6,"Protest required","Deadline passed — litigation only"))))</f>
        <v/>
      </c>
      <c r="M995" s="20" t="str">
        <f aca="false">IF(K995="","",IF(H995&lt;&gt;"",H995+Assumptions!$B$6,C995+Assumptions!$B$8+Assumptions!$B$6))</f>
        <v/>
      </c>
      <c r="N995" s="20" t="str">
        <f aca="false">IF(K995="","",IF(K995&lt;0,IF(H995&lt;&gt;"",H995+Assumptions!$B$7,C995+Assumptions!$B$8+Assumptions!$B$7),M995))</f>
        <v/>
      </c>
      <c r="O995" s="21" t="str">
        <f aca="false">IF(N995="","",N995-Assumptions!$D$5)</f>
        <v/>
      </c>
      <c r="P995" s="22"/>
      <c r="Q995" s="22"/>
      <c r="R995" s="18" t="str">
        <f aca="false">IF(Q995="","",Q995*IF(LEFT(L995,7)="Phase 1",Assumptions!$B$11,Assumptions!$B$12))</f>
        <v/>
      </c>
    </row>
    <row r="996" customFormat="false" ht="15" hidden="false" customHeight="true" outlineLevel="0" collapsed="false">
      <c r="C996" s="24"/>
      <c r="F996" s="22"/>
      <c r="G996" s="23"/>
      <c r="H996" s="24"/>
      <c r="J996" s="18" t="str">
        <f aca="false">IF(F996="","",F996*G996)</f>
        <v/>
      </c>
      <c r="K996" s="5" t="str">
        <f aca="false">IF(A996="","",IF(H996&lt;&gt;"",Assumptions!$D$5-H996,IF(C996="","",Assumptions!$D$5-(C996+Assumptions!$B$8))))</f>
        <v/>
      </c>
      <c r="L996" s="5" t="str">
        <f aca="false">IF(K996="","",IF(K996&lt;0,"Phase 1 (unliquidated)",IF(K996&lt;=Assumptions!$B$7,"Phase 1 (recently liquidated)",IF(K996&lt;=Assumptions!$B$6,"Protest required","Deadline passed — litigation only"))))</f>
        <v/>
      </c>
      <c r="M996" s="20" t="str">
        <f aca="false">IF(K996="","",IF(H996&lt;&gt;"",H996+Assumptions!$B$6,C996+Assumptions!$B$8+Assumptions!$B$6))</f>
        <v/>
      </c>
      <c r="N996" s="20" t="str">
        <f aca="false">IF(K996="","",IF(K996&lt;0,IF(H996&lt;&gt;"",H996+Assumptions!$B$7,C996+Assumptions!$B$8+Assumptions!$B$7),M996))</f>
        <v/>
      </c>
      <c r="O996" s="21" t="str">
        <f aca="false">IF(N996="","",N996-Assumptions!$D$5)</f>
        <v/>
      </c>
      <c r="P996" s="22"/>
      <c r="Q996" s="22"/>
      <c r="R996" s="18" t="str">
        <f aca="false">IF(Q996="","",Q996*IF(LEFT(L996,7)="Phase 1",Assumptions!$B$11,Assumptions!$B$12))</f>
        <v/>
      </c>
    </row>
    <row r="997" customFormat="false" ht="15" hidden="false" customHeight="true" outlineLevel="0" collapsed="false">
      <c r="C997" s="24"/>
      <c r="F997" s="22"/>
      <c r="G997" s="23"/>
      <c r="H997" s="24"/>
      <c r="J997" s="18" t="str">
        <f aca="false">IF(F997="","",F997*G997)</f>
        <v/>
      </c>
      <c r="K997" s="5" t="str">
        <f aca="false">IF(A997="","",IF(H997&lt;&gt;"",Assumptions!$D$5-H997,IF(C997="","",Assumptions!$D$5-(C997+Assumptions!$B$8))))</f>
        <v/>
      </c>
      <c r="L997" s="5" t="str">
        <f aca="false">IF(K997="","",IF(K997&lt;0,"Phase 1 (unliquidated)",IF(K997&lt;=Assumptions!$B$7,"Phase 1 (recently liquidated)",IF(K997&lt;=Assumptions!$B$6,"Protest required","Deadline passed — litigation only"))))</f>
        <v/>
      </c>
      <c r="M997" s="20" t="str">
        <f aca="false">IF(K997="","",IF(H997&lt;&gt;"",H997+Assumptions!$B$6,C997+Assumptions!$B$8+Assumptions!$B$6))</f>
        <v/>
      </c>
      <c r="N997" s="20" t="str">
        <f aca="false">IF(K997="","",IF(K997&lt;0,IF(H997&lt;&gt;"",H997+Assumptions!$B$7,C997+Assumptions!$B$8+Assumptions!$B$7),M997))</f>
        <v/>
      </c>
      <c r="O997" s="21" t="str">
        <f aca="false">IF(N997="","",N997-Assumptions!$D$5)</f>
        <v/>
      </c>
      <c r="P997" s="22"/>
      <c r="Q997" s="22"/>
      <c r="R997" s="18" t="str">
        <f aca="false">IF(Q997="","",Q997*IF(LEFT(L997,7)="Phase 1",Assumptions!$B$11,Assumptions!$B$12))</f>
        <v/>
      </c>
    </row>
    <row r="998" customFormat="false" ht="15" hidden="false" customHeight="true" outlineLevel="0" collapsed="false">
      <c r="C998" s="24"/>
      <c r="F998" s="22"/>
      <c r="G998" s="23"/>
      <c r="H998" s="24"/>
      <c r="J998" s="18" t="str">
        <f aca="false">IF(F998="","",F998*G998)</f>
        <v/>
      </c>
      <c r="K998" s="5" t="str">
        <f aca="false">IF(A998="","",IF(H998&lt;&gt;"",Assumptions!$D$5-H998,IF(C998="","",Assumptions!$D$5-(C998+Assumptions!$B$8))))</f>
        <v/>
      </c>
      <c r="L998" s="5" t="str">
        <f aca="false">IF(K998="","",IF(K998&lt;0,"Phase 1 (unliquidated)",IF(K998&lt;=Assumptions!$B$7,"Phase 1 (recently liquidated)",IF(K998&lt;=Assumptions!$B$6,"Protest required","Deadline passed — litigation only"))))</f>
        <v/>
      </c>
      <c r="M998" s="20" t="str">
        <f aca="false">IF(K998="","",IF(H998&lt;&gt;"",H998+Assumptions!$B$6,C998+Assumptions!$B$8+Assumptions!$B$6))</f>
        <v/>
      </c>
      <c r="N998" s="20" t="str">
        <f aca="false">IF(K998="","",IF(K998&lt;0,IF(H998&lt;&gt;"",H998+Assumptions!$B$7,C998+Assumptions!$B$8+Assumptions!$B$7),M998))</f>
        <v/>
      </c>
      <c r="O998" s="21" t="str">
        <f aca="false">IF(N998="","",N998-Assumptions!$D$5)</f>
        <v/>
      </c>
      <c r="P998" s="22"/>
      <c r="Q998" s="22"/>
      <c r="R998" s="18" t="str">
        <f aca="false">IF(Q998="","",Q998*IF(LEFT(L998,7)="Phase 1",Assumptions!$B$11,Assumptions!$B$12))</f>
        <v/>
      </c>
    </row>
    <row r="999" customFormat="false" ht="15" hidden="false" customHeight="true" outlineLevel="0" collapsed="false">
      <c r="C999" s="24"/>
      <c r="F999" s="22"/>
      <c r="G999" s="23"/>
      <c r="H999" s="24"/>
      <c r="J999" s="18" t="str">
        <f aca="false">IF(F999="","",F999*G999)</f>
        <v/>
      </c>
      <c r="K999" s="5" t="str">
        <f aca="false">IF(A999="","",IF(H999&lt;&gt;"",Assumptions!$D$5-H999,IF(C999="","",Assumptions!$D$5-(C999+Assumptions!$B$8))))</f>
        <v/>
      </c>
      <c r="L999" s="5" t="str">
        <f aca="false">IF(K999="","",IF(K999&lt;0,"Phase 1 (unliquidated)",IF(K999&lt;=Assumptions!$B$7,"Phase 1 (recently liquidated)",IF(K999&lt;=Assumptions!$B$6,"Protest required","Deadline passed — litigation only"))))</f>
        <v/>
      </c>
      <c r="M999" s="20" t="str">
        <f aca="false">IF(K999="","",IF(H999&lt;&gt;"",H999+Assumptions!$B$6,C999+Assumptions!$B$8+Assumptions!$B$6))</f>
        <v/>
      </c>
      <c r="N999" s="20" t="str">
        <f aca="false">IF(K999="","",IF(K999&lt;0,IF(H999&lt;&gt;"",H999+Assumptions!$B$7,C999+Assumptions!$B$8+Assumptions!$B$7),M999))</f>
        <v/>
      </c>
      <c r="O999" s="21" t="str">
        <f aca="false">IF(N999="","",N999-Assumptions!$D$5)</f>
        <v/>
      </c>
      <c r="P999" s="22"/>
      <c r="Q999" s="22"/>
      <c r="R999" s="18" t="str">
        <f aca="false">IF(Q999="","",Q999*IF(LEFT(L999,7)="Phase 1",Assumptions!$B$11,Assumptions!$B$12))</f>
        <v/>
      </c>
    </row>
    <row r="1000" customFormat="false" ht="15" hidden="false" customHeight="true" outlineLevel="0" collapsed="false">
      <c r="C1000" s="24"/>
      <c r="F1000" s="22"/>
      <c r="G1000" s="23"/>
      <c r="H1000" s="24"/>
      <c r="J1000" s="18" t="str">
        <f aca="false">IF(F1000="","",F1000*G1000)</f>
        <v/>
      </c>
      <c r="K1000" s="5" t="str">
        <f aca="false">IF(A1000="","",IF(H1000&lt;&gt;"",Assumptions!$D$5-H1000,IF(C1000="","",Assumptions!$D$5-(C1000+Assumptions!$B$8))))</f>
        <v/>
      </c>
      <c r="L1000" s="5" t="str">
        <f aca="false">IF(K1000="","",IF(K1000&lt;0,"Phase 1 (unliquidated)",IF(K1000&lt;=Assumptions!$B$7,"Phase 1 (recently liquidated)",IF(K1000&lt;=Assumptions!$B$6,"Protest required","Deadline passed — litigation only"))))</f>
        <v/>
      </c>
      <c r="M1000" s="20" t="str">
        <f aca="false">IF(K1000="","",IF(H1000&lt;&gt;"",H1000+Assumptions!$B$6,C1000+Assumptions!$B$8+Assumptions!$B$6))</f>
        <v/>
      </c>
      <c r="N1000" s="20" t="str">
        <f aca="false">IF(K1000="","",IF(K1000&lt;0,IF(H1000&lt;&gt;"",H1000+Assumptions!$B$7,C1000+Assumptions!$B$8+Assumptions!$B$7),M1000))</f>
        <v/>
      </c>
      <c r="O1000" s="21" t="str">
        <f aca="false">IF(N1000="","",N1000-Assumptions!$D$5)</f>
        <v/>
      </c>
      <c r="P1000" s="22"/>
      <c r="Q1000" s="22"/>
      <c r="R1000" s="18" t="str">
        <f aca="false">IF(Q1000="","",Q1000*IF(LEFT(L1000,7)="Phase 1",Assumptions!$B$11,Assumptions!$B$12))</f>
        <v/>
      </c>
    </row>
    <row r="1003" customFormat="false" ht="15" hidden="false" customHeight="true" outlineLevel="0" collapsed="false">
      <c r="A1003" s="3" t="s">
        <v>108</v>
      </c>
    </row>
  </sheetData>
  <conditionalFormatting sqref="O2:O1000">
    <cfRule type="cellIs" priority="2" operator="lessThan" aboveAverage="0" equalAverage="0" bottom="0" percent="0" rank="0" text="" dxfId="0">
      <formula>Assumptions!$B$17</formula>
    </cfRule>
    <cfRule type="cellIs" priority="3" operator="lessThan" aboveAverage="0" equalAverage="0" bottom="0" percent="0" rank="0" text="" dxfId="1">
      <formula>0</formula>
    </cfRule>
  </conditionalFormatting>
  <conditionalFormatting sqref="I2:I1000">
    <cfRule type="cellIs" priority="4" operator="equal" aboveAverage="0" equalAverage="0" bottom="0" percent="0" rank="0" text="" dxfId="2">
      <formula>"Y"</formula>
    </cfRule>
  </conditionalFormatting>
  <dataValidations count="1">
    <dataValidation allowBlank="true" errorStyle="stop" operator="between" showDropDown="false" showErrorMessage="false" showInputMessage="false" sqref="S2:S2000" type="list">
      <formula1>"Not filed,CAPE filed,Protest filed,Accepted,Rejected,Refunded"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52"/>
  </cols>
  <sheetData>
    <row r="1" customFormat="false" ht="15" hidden="false" customHeight="true" outlineLevel="0" collapsed="false">
      <c r="A1" s="25" t="s">
        <v>109</v>
      </c>
    </row>
    <row r="3" customFormat="false" ht="15" hidden="false" customHeight="true" outlineLevel="0" collapsed="false">
      <c r="A3" s="26" t="s">
        <v>110</v>
      </c>
      <c r="B3" s="26" t="s">
        <v>111</v>
      </c>
      <c r="C3" s="26" t="s">
        <v>112</v>
      </c>
      <c r="D3" s="26" t="s">
        <v>113</v>
      </c>
      <c r="E3" s="26" t="s">
        <v>71</v>
      </c>
    </row>
    <row r="4" customFormat="false" ht="23.25" hidden="false" customHeight="true" outlineLevel="0" collapsed="false">
      <c r="A4" s="27" t="s">
        <v>114</v>
      </c>
      <c r="B4" s="27" t="s">
        <v>115</v>
      </c>
      <c r="C4" s="27" t="s">
        <v>116</v>
      </c>
      <c r="D4" s="27" t="s">
        <v>117</v>
      </c>
      <c r="E4" s="27" t="s">
        <v>118</v>
      </c>
    </row>
    <row r="5" customFormat="false" ht="23.25" hidden="false" customHeight="true" outlineLevel="0" collapsed="false">
      <c r="A5" s="27" t="s">
        <v>119</v>
      </c>
      <c r="B5" s="27" t="s">
        <v>120</v>
      </c>
      <c r="C5" s="27" t="s">
        <v>121</v>
      </c>
      <c r="D5" s="27" t="s">
        <v>117</v>
      </c>
      <c r="E5" s="27" t="s">
        <v>122</v>
      </c>
    </row>
    <row r="6" customFormat="false" ht="23.25" hidden="false" customHeight="true" outlineLevel="0" collapsed="false">
      <c r="A6" s="27" t="s">
        <v>123</v>
      </c>
      <c r="B6" s="27" t="s">
        <v>124</v>
      </c>
      <c r="C6" s="27" t="s">
        <v>121</v>
      </c>
      <c r="D6" s="27" t="s">
        <v>125</v>
      </c>
      <c r="E6" s="27" t="s">
        <v>126</v>
      </c>
    </row>
    <row r="7" customFormat="false" ht="23.25" hidden="false" customHeight="true" outlineLevel="0" collapsed="false">
      <c r="A7" s="27" t="s">
        <v>127</v>
      </c>
      <c r="B7" s="27" t="s">
        <v>128</v>
      </c>
      <c r="C7" s="27" t="s">
        <v>121</v>
      </c>
      <c r="D7" s="27" t="s">
        <v>129</v>
      </c>
      <c r="E7" s="27" t="s">
        <v>130</v>
      </c>
    </row>
    <row r="8" customFormat="false" ht="23.25" hidden="false" customHeight="true" outlineLevel="0" collapsed="false">
      <c r="A8" s="27" t="s">
        <v>131</v>
      </c>
      <c r="B8" s="27" t="s">
        <v>132</v>
      </c>
      <c r="C8" s="27" t="s">
        <v>74</v>
      </c>
      <c r="D8" s="27" t="s">
        <v>133</v>
      </c>
      <c r="E8" s="27" t="s">
        <v>134</v>
      </c>
    </row>
    <row r="9" customFormat="false" ht="15" hidden="false" customHeight="true" outlineLevel="0" collapsed="false">
      <c r="A9" s="27" t="s">
        <v>135</v>
      </c>
      <c r="B9" s="27" t="s">
        <v>136</v>
      </c>
      <c r="C9" s="27" t="s">
        <v>137</v>
      </c>
      <c r="D9" s="27" t="s">
        <v>117</v>
      </c>
      <c r="E9" s="27" t="s">
        <v>138</v>
      </c>
    </row>
    <row r="10" customFormat="false" ht="23.25" hidden="false" customHeight="true" outlineLevel="0" collapsed="false">
      <c r="A10" s="27" t="s">
        <v>139</v>
      </c>
      <c r="B10" s="27" t="s">
        <v>140</v>
      </c>
      <c r="C10" s="27" t="s">
        <v>141</v>
      </c>
      <c r="D10" s="27" t="s">
        <v>117</v>
      </c>
      <c r="E10" s="27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2026-09-14T00:32:29Z</dcterms:created>
  <dc:creator>openpyxl</dc:creator>
  <dc:description/>
  <dc:language>en-US</dc:language>
  <cp:lastModifiedBy/>
  <dcterms:modified xsi:type="dcterms:W3CDTF">2026-09-14T00:32:42Z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